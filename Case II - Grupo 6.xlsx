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nsperedu-my.sharepoint.com/personal/leonardot3_al_insper_edu_br/Documents/jr/Capacitação/"/>
    </mc:Choice>
  </mc:AlternateContent>
  <xr:revisionPtr revIDLastSave="0" documentId="8_{6969EA99-7747-2040-9541-8CA468AA1BF6}" xr6:coauthVersionLast="47" xr6:coauthVersionMax="47" xr10:uidLastSave="{00000000-0000-0000-0000-000000000000}"/>
  <bookViews>
    <workbookView xWindow="-108" yWindow="-108" windowWidth="23256" windowHeight="12456" firstSheet="3" activeTab="9" xr2:uid="{A9F78357-1C56-4E9E-9857-8D114E4F9C02}"/>
  </bookViews>
  <sheets>
    <sheet name="Capa" sheetId="1" r:id="rId1"/>
    <sheet name="Macro - Itaú" sheetId="9" r:id="rId2"/>
    <sheet name="Input" sheetId="11" r:id="rId3"/>
    <sheet name="Modelo" sheetId="19" r:id="rId4"/>
    <sheet name="Valuation" sheetId="10" r:id="rId5"/>
    <sheet name="2026 LR " sheetId="12" r:id="rId6"/>
    <sheet name="2026 LP" sheetId="13" r:id="rId7"/>
    <sheet name="Projeções - LR" sheetId="15" r:id="rId8"/>
    <sheet name="Projeções - LP" sheetId="17" r:id="rId9"/>
    <sheet name="Projeções 2028-2036" sheetId="2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97" i="10" l="1"/>
  <c r="P97" i="10"/>
  <c r="M97" i="10"/>
  <c r="L97" i="10"/>
  <c r="K101" i="10"/>
  <c r="K102" i="10"/>
  <c r="K103" i="10"/>
  <c r="K99" i="10"/>
  <c r="K98" i="10"/>
  <c r="K100" i="10"/>
  <c r="I97" i="10"/>
  <c r="I96" i="10"/>
  <c r="K85" i="10"/>
  <c r="L85" i="10"/>
  <c r="M85" i="10"/>
  <c r="N85" i="10"/>
  <c r="O85" i="10"/>
  <c r="P85" i="10"/>
  <c r="Q85" i="10"/>
  <c r="R85" i="10"/>
  <c r="S85" i="10"/>
  <c r="T85" i="10"/>
  <c r="J85" i="10"/>
  <c r="K84" i="10"/>
  <c r="L84" i="10"/>
  <c r="M84" i="10"/>
  <c r="N84" i="10"/>
  <c r="O84" i="10"/>
  <c r="P84" i="10"/>
  <c r="Q84" i="10"/>
  <c r="R84" i="10"/>
  <c r="S84" i="10"/>
  <c r="T84" i="10"/>
  <c r="J84" i="10"/>
  <c r="K83" i="10"/>
  <c r="L83" i="10"/>
  <c r="M83" i="10"/>
  <c r="N83" i="10"/>
  <c r="O83" i="10"/>
  <c r="P83" i="10"/>
  <c r="Q83" i="10"/>
  <c r="R83" i="10"/>
  <c r="S83" i="10"/>
  <c r="T83" i="10"/>
  <c r="J83" i="10"/>
  <c r="I63" i="10"/>
  <c r="I76" i="10"/>
  <c r="I57" i="10"/>
  <c r="I56" i="10"/>
  <c r="K65" i="20"/>
  <c r="K64" i="20"/>
  <c r="K63" i="20"/>
  <c r="C38" i="20"/>
  <c r="D38" i="20"/>
  <c r="E38" i="20"/>
  <c r="F38" i="20"/>
  <c r="G38" i="20"/>
  <c r="H38" i="20"/>
  <c r="I38" i="20"/>
  <c r="J38" i="20"/>
  <c r="C39" i="20"/>
  <c r="D39" i="20"/>
  <c r="E39" i="20"/>
  <c r="F39" i="20"/>
  <c r="G39" i="20"/>
  <c r="G40" i="20"/>
  <c r="G42" i="20"/>
  <c r="H39" i="20"/>
  <c r="H40" i="20"/>
  <c r="H42" i="20"/>
  <c r="I39" i="20"/>
  <c r="J39" i="20"/>
  <c r="C40" i="20"/>
  <c r="D40" i="20"/>
  <c r="E40" i="20"/>
  <c r="E42" i="20"/>
  <c r="F40" i="20"/>
  <c r="F42" i="20"/>
  <c r="I40" i="20"/>
  <c r="I42" i="20"/>
  <c r="J40" i="20"/>
  <c r="C42" i="20"/>
  <c r="D42" i="20"/>
  <c r="J42" i="20"/>
  <c r="C51" i="20"/>
  <c r="D51" i="20"/>
  <c r="E51" i="20"/>
  <c r="F51" i="20"/>
  <c r="G51" i="20"/>
  <c r="H51" i="20"/>
  <c r="I51" i="20"/>
  <c r="J51" i="20"/>
  <c r="C52" i="20"/>
  <c r="D52" i="20"/>
  <c r="E52" i="20"/>
  <c r="F52" i="20"/>
  <c r="G52" i="20"/>
  <c r="H52" i="20"/>
  <c r="I52" i="20"/>
  <c r="J52" i="20"/>
  <c r="C53" i="20"/>
  <c r="D53" i="20"/>
  <c r="E53" i="20"/>
  <c r="F53" i="20"/>
  <c r="G53" i="20"/>
  <c r="H53" i="20"/>
  <c r="I53" i="20"/>
  <c r="J53" i="20"/>
  <c r="C54" i="20"/>
  <c r="D54" i="20"/>
  <c r="E54" i="20"/>
  <c r="F54" i="20"/>
  <c r="G54" i="20"/>
  <c r="H54" i="20"/>
  <c r="I54" i="20"/>
  <c r="J54" i="20"/>
  <c r="C57" i="20"/>
  <c r="D57" i="20"/>
  <c r="E57" i="20"/>
  <c r="F57" i="20"/>
  <c r="G57" i="20"/>
  <c r="H57" i="20"/>
  <c r="I57" i="20"/>
  <c r="J57" i="20"/>
  <c r="C63" i="20"/>
  <c r="D63" i="20"/>
  <c r="E63" i="20"/>
  <c r="F63" i="20"/>
  <c r="G63" i="20"/>
  <c r="H63" i="20"/>
  <c r="I63" i="20"/>
  <c r="J63" i="20"/>
  <c r="C64" i="20"/>
  <c r="D64" i="20"/>
  <c r="E64" i="20"/>
  <c r="F64" i="20"/>
  <c r="G64" i="20"/>
  <c r="H64" i="20"/>
  <c r="I64" i="20"/>
  <c r="J64" i="20"/>
  <c r="C65" i="20"/>
  <c r="D65" i="20"/>
  <c r="E65" i="20"/>
  <c r="F65" i="20"/>
  <c r="G65" i="20"/>
  <c r="H65" i="20"/>
  <c r="I65" i="20"/>
  <c r="J65" i="20"/>
  <c r="B65" i="20"/>
  <c r="B64" i="20"/>
  <c r="B63" i="20"/>
  <c r="B39" i="20"/>
  <c r="I52" i="10"/>
  <c r="N82" i="10"/>
  <c r="N87" i="10"/>
  <c r="W270" i="19"/>
  <c r="O251" i="19"/>
  <c r="P251" i="19"/>
  <c r="Q251" i="19"/>
  <c r="R251" i="19"/>
  <c r="S251" i="19"/>
  <c r="T251" i="19"/>
  <c r="U251" i="19"/>
  <c r="V251" i="19"/>
  <c r="W251" i="19"/>
  <c r="O252" i="19"/>
  <c r="P252" i="19"/>
  <c r="Q252" i="19"/>
  <c r="Q292" i="19"/>
  <c r="Q291" i="19"/>
  <c r="R252" i="19"/>
  <c r="S252" i="19"/>
  <c r="T252" i="19"/>
  <c r="U252" i="19"/>
  <c r="V252" i="19"/>
  <c r="W252" i="19"/>
  <c r="O253" i="19"/>
  <c r="P253" i="19"/>
  <c r="Q253" i="19"/>
  <c r="Q293" i="19"/>
  <c r="R253" i="19"/>
  <c r="R293" i="19"/>
  <c r="S253" i="19"/>
  <c r="T253" i="19"/>
  <c r="U253" i="19"/>
  <c r="V253" i="19"/>
  <c r="W253" i="19"/>
  <c r="O257" i="19"/>
  <c r="P257" i="19"/>
  <c r="Q257" i="19"/>
  <c r="O258" i="19"/>
  <c r="P258" i="19"/>
  <c r="Q258" i="19"/>
  <c r="R258" i="19"/>
  <c r="S258" i="19"/>
  <c r="T258" i="19"/>
  <c r="U258" i="19"/>
  <c r="V258" i="19"/>
  <c r="W258" i="19"/>
  <c r="O259" i="19"/>
  <c r="P259" i="19"/>
  <c r="Q259" i="19"/>
  <c r="R259" i="19"/>
  <c r="S259" i="19"/>
  <c r="T259" i="19"/>
  <c r="U259" i="19"/>
  <c r="V259" i="19"/>
  <c r="W259" i="19"/>
  <c r="O260" i="19"/>
  <c r="P260" i="19"/>
  <c r="Q260" i="19"/>
  <c r="R260" i="19"/>
  <c r="S260" i="19"/>
  <c r="T260" i="19"/>
  <c r="U260" i="19"/>
  <c r="V260" i="19"/>
  <c r="W260" i="19"/>
  <c r="O261" i="19"/>
  <c r="P261" i="19"/>
  <c r="Q261" i="19"/>
  <c r="R261" i="19"/>
  <c r="S261" i="19"/>
  <c r="T261" i="19"/>
  <c r="U261" i="19"/>
  <c r="V261" i="19"/>
  <c r="W261" i="19"/>
  <c r="Q265" i="19"/>
  <c r="O267" i="19"/>
  <c r="P267" i="19"/>
  <c r="Q267" i="19"/>
  <c r="Q294" i="19"/>
  <c r="R267" i="19"/>
  <c r="R265" i="19"/>
  <c r="S267" i="19"/>
  <c r="T267" i="19"/>
  <c r="U267" i="19"/>
  <c r="V267" i="19"/>
  <c r="W267" i="19"/>
  <c r="O268" i="19"/>
  <c r="P268" i="19"/>
  <c r="Q268" i="19"/>
  <c r="R268" i="19"/>
  <c r="S268" i="19"/>
  <c r="S265" i="19"/>
  <c r="T268" i="19"/>
  <c r="U268" i="19"/>
  <c r="V268" i="19"/>
  <c r="V294" i="19"/>
  <c r="W268" i="19"/>
  <c r="O269" i="19"/>
  <c r="P269" i="19"/>
  <c r="Q269" i="19"/>
  <c r="R269" i="19"/>
  <c r="S269" i="19"/>
  <c r="T269" i="19"/>
  <c r="U269" i="19"/>
  <c r="V269" i="19"/>
  <c r="W269" i="19"/>
  <c r="O270" i="19"/>
  <c r="P270" i="19"/>
  <c r="Q270" i="19"/>
  <c r="R270" i="19"/>
  <c r="S270" i="19"/>
  <c r="T270" i="19"/>
  <c r="U270" i="19"/>
  <c r="V270" i="19"/>
  <c r="O274" i="19"/>
  <c r="O272" i="19"/>
  <c r="P274" i="19"/>
  <c r="P272" i="19"/>
  <c r="Q274" i="19"/>
  <c r="Q272" i="19"/>
  <c r="R274" i="19"/>
  <c r="R272" i="19"/>
  <c r="S274" i="19"/>
  <c r="S272" i="19"/>
  <c r="W274" i="19"/>
  <c r="W272" i="19"/>
  <c r="O278" i="19"/>
  <c r="P278" i="19"/>
  <c r="Q278" i="19"/>
  <c r="R278" i="19"/>
  <c r="O279" i="19"/>
  <c r="O280" i="19"/>
  <c r="P279" i="19"/>
  <c r="Q279" i="19"/>
  <c r="R279" i="19"/>
  <c r="S279" i="19"/>
  <c r="T279" i="19"/>
  <c r="U279" i="19"/>
  <c r="V279" i="19"/>
  <c r="W279" i="19"/>
  <c r="P280" i="19"/>
  <c r="Q280" i="19"/>
  <c r="R280" i="19"/>
  <c r="S280" i="19"/>
  <c r="T280" i="19"/>
  <c r="U280" i="19"/>
  <c r="V280" i="19"/>
  <c r="W280" i="19"/>
  <c r="O288" i="19"/>
  <c r="P288" i="19"/>
  <c r="Q288" i="19"/>
  <c r="R288" i="19"/>
  <c r="S288" i="19"/>
  <c r="T288" i="19"/>
  <c r="U288" i="19"/>
  <c r="V288" i="19"/>
  <c r="W288" i="19"/>
  <c r="O289" i="19"/>
  <c r="P289" i="19"/>
  <c r="Q289" i="19"/>
  <c r="R289" i="19"/>
  <c r="S289" i="19"/>
  <c r="T289" i="19"/>
  <c r="U289" i="19"/>
  <c r="V289" i="19"/>
  <c r="W289" i="19"/>
  <c r="O292" i="19"/>
  <c r="P292" i="19"/>
  <c r="U292" i="19"/>
  <c r="V292" i="19"/>
  <c r="W292" i="19"/>
  <c r="O293" i="19"/>
  <c r="P293" i="19"/>
  <c r="S293" i="19"/>
  <c r="T293" i="19"/>
  <c r="U293" i="19"/>
  <c r="V293" i="19"/>
  <c r="W293" i="19"/>
  <c r="R294" i="19"/>
  <c r="S294" i="19"/>
  <c r="T294" i="19"/>
  <c r="U294" i="19"/>
  <c r="O296" i="19"/>
  <c r="V296" i="19"/>
  <c r="W296" i="19"/>
  <c r="O300" i="19"/>
  <c r="P300" i="19"/>
  <c r="P296" i="19"/>
  <c r="Q300" i="19"/>
  <c r="Q296" i="19"/>
  <c r="R300" i="19"/>
  <c r="R296" i="19"/>
  <c r="S300" i="19"/>
  <c r="S296" i="19"/>
  <c r="T300" i="19"/>
  <c r="T296" i="19"/>
  <c r="U300" i="19"/>
  <c r="U296" i="19"/>
  <c r="V300" i="19"/>
  <c r="W300" i="19"/>
  <c r="O303" i="19"/>
  <c r="O301" i="19"/>
  <c r="P303" i="19"/>
  <c r="P301" i="19"/>
  <c r="Q303" i="19"/>
  <c r="Q301" i="19"/>
  <c r="O307" i="19"/>
  <c r="N307" i="19"/>
  <c r="N303" i="19"/>
  <c r="N301" i="19"/>
  <c r="N300" i="19"/>
  <c r="N296" i="19"/>
  <c r="N294" i="19"/>
  <c r="N293" i="19"/>
  <c r="N292" i="19"/>
  <c r="N291" i="19"/>
  <c r="N286" i="19"/>
  <c r="N280" i="19"/>
  <c r="N279" i="19"/>
  <c r="N278" i="19"/>
  <c r="N276" i="19"/>
  <c r="N274" i="19"/>
  <c r="N272" i="19"/>
  <c r="N270" i="19"/>
  <c r="N269" i="19"/>
  <c r="N268" i="19"/>
  <c r="N265" i="19"/>
  <c r="N267" i="19"/>
  <c r="N261" i="19"/>
  <c r="N260" i="19"/>
  <c r="N255" i="19"/>
  <c r="N259" i="19"/>
  <c r="N258" i="19"/>
  <c r="N257" i="19"/>
  <c r="N253" i="19"/>
  <c r="N252" i="19"/>
  <c r="N251" i="19"/>
  <c r="M312" i="19"/>
  <c r="M311" i="19"/>
  <c r="M308" i="19"/>
  <c r="M307" i="19"/>
  <c r="M303" i="19"/>
  <c r="M300" i="19"/>
  <c r="M299" i="19"/>
  <c r="M296" i="19"/>
  <c r="M294" i="19"/>
  <c r="M293" i="19"/>
  <c r="M292" i="19"/>
  <c r="M289" i="19"/>
  <c r="M288" i="19"/>
  <c r="M286" i="19"/>
  <c r="M305" i="19"/>
  <c r="M280" i="19"/>
  <c r="M279" i="19"/>
  <c r="M276" i="19"/>
  <c r="M278" i="19"/>
  <c r="M274" i="19"/>
  <c r="M272" i="19"/>
  <c r="M270" i="19"/>
  <c r="M269" i="19"/>
  <c r="M268" i="19"/>
  <c r="M267" i="19"/>
  <c r="M265" i="19"/>
  <c r="M261" i="19"/>
  <c r="M260" i="19"/>
  <c r="M259" i="19"/>
  <c r="M258" i="19"/>
  <c r="M257" i="19"/>
  <c r="M255" i="19"/>
  <c r="M253" i="19"/>
  <c r="M252" i="19"/>
  <c r="M251" i="19"/>
  <c r="M250" i="19"/>
  <c r="L307" i="19"/>
  <c r="L303" i="19"/>
  <c r="L299" i="19"/>
  <c r="L296" i="19"/>
  <c r="L294" i="19"/>
  <c r="L293" i="19"/>
  <c r="L292" i="19"/>
  <c r="L280" i="19"/>
  <c r="L279" i="19"/>
  <c r="L278" i="19"/>
  <c r="L276" i="19"/>
  <c r="L274" i="19"/>
  <c r="L272" i="19"/>
  <c r="L270" i="19"/>
  <c r="L269" i="19"/>
  <c r="L268" i="19"/>
  <c r="L267" i="19"/>
  <c r="L265" i="19"/>
  <c r="L261" i="19"/>
  <c r="L260" i="19"/>
  <c r="L255" i="19"/>
  <c r="L259" i="19"/>
  <c r="L258" i="19"/>
  <c r="L257" i="19"/>
  <c r="L253" i="19"/>
  <c r="L252" i="19"/>
  <c r="L251" i="19"/>
  <c r="K311" i="19"/>
  <c r="K280" i="19"/>
  <c r="K279" i="19"/>
  <c r="K278" i="19"/>
  <c r="K276" i="19"/>
  <c r="K274" i="19"/>
  <c r="K272" i="19"/>
  <c r="K269" i="19"/>
  <c r="K268" i="19"/>
  <c r="K267" i="19"/>
  <c r="K261" i="19"/>
  <c r="K260" i="19"/>
  <c r="K259" i="19"/>
  <c r="K258" i="19"/>
  <c r="K257" i="19"/>
  <c r="K253" i="19"/>
  <c r="K252" i="19"/>
  <c r="K251" i="19"/>
  <c r="K250" i="19"/>
  <c r="J79" i="19"/>
  <c r="N79" i="19"/>
  <c r="N289" i="19"/>
  <c r="L289" i="19"/>
  <c r="N288" i="19"/>
  <c r="L288" i="19"/>
  <c r="O236" i="19"/>
  <c r="P236" i="19"/>
  <c r="Q236" i="19"/>
  <c r="R236" i="19"/>
  <c r="S236" i="19"/>
  <c r="T236" i="19"/>
  <c r="U236" i="19"/>
  <c r="V236" i="19"/>
  <c r="W236" i="19"/>
  <c r="N236" i="19"/>
  <c r="U237" i="19"/>
  <c r="V237" i="19"/>
  <c r="W237" i="19"/>
  <c r="T237" i="19"/>
  <c r="M217" i="19"/>
  <c r="L217" i="19"/>
  <c r="N217" i="19"/>
  <c r="O217" i="19"/>
  <c r="P217" i="19"/>
  <c r="Q217" i="19"/>
  <c r="R217" i="19"/>
  <c r="S217" i="19"/>
  <c r="T217" i="19"/>
  <c r="U217" i="19"/>
  <c r="V217" i="19"/>
  <c r="W217" i="19"/>
  <c r="M236" i="19"/>
  <c r="L236" i="19"/>
  <c r="M231" i="19"/>
  <c r="L231" i="19"/>
  <c r="M208" i="19"/>
  <c r="M229" i="19"/>
  <c r="L229" i="19"/>
  <c r="M172" i="19"/>
  <c r="L172" i="19"/>
  <c r="L171" i="19"/>
  <c r="J204" i="19"/>
  <c r="N203" i="19"/>
  <c r="M203" i="19"/>
  <c r="L203" i="19"/>
  <c r="O123" i="19"/>
  <c r="P123" i="19"/>
  <c r="Q123" i="19"/>
  <c r="R123" i="19"/>
  <c r="S123" i="19"/>
  <c r="T123" i="19"/>
  <c r="U123" i="19"/>
  <c r="V123" i="19"/>
  <c r="W123" i="19"/>
  <c r="N123" i="19"/>
  <c r="M123" i="19"/>
  <c r="M122" i="19"/>
  <c r="N122" i="19"/>
  <c r="O122" i="19"/>
  <c r="P122" i="19"/>
  <c r="Q122" i="19"/>
  <c r="R122" i="19"/>
  <c r="S122" i="19"/>
  <c r="T122" i="19"/>
  <c r="U122" i="19"/>
  <c r="V122" i="19"/>
  <c r="W122" i="19"/>
  <c r="K255" i="19"/>
  <c r="P177" i="19"/>
  <c r="O177" i="19"/>
  <c r="N177" i="19"/>
  <c r="K229" i="19"/>
  <c r="M177" i="19"/>
  <c r="L179" i="19"/>
  <c r="L178" i="19"/>
  <c r="B7" i="12"/>
  <c r="B57" i="20"/>
  <c r="B54" i="20"/>
  <c r="B53" i="20"/>
  <c r="B52" i="20"/>
  <c r="B51" i="20"/>
  <c r="J37" i="20"/>
  <c r="I37" i="20"/>
  <c r="H37" i="20"/>
  <c r="G37" i="20"/>
  <c r="F37" i="20"/>
  <c r="E37" i="20"/>
  <c r="D37" i="20"/>
  <c r="C37" i="20"/>
  <c r="B37" i="20"/>
  <c r="J21" i="20"/>
  <c r="I21" i="20"/>
  <c r="H21" i="20"/>
  <c r="G21" i="20"/>
  <c r="F21" i="20"/>
  <c r="E21" i="20"/>
  <c r="D21" i="20"/>
  <c r="C21" i="20"/>
  <c r="B21" i="20"/>
  <c r="C6" i="13"/>
  <c r="B33" i="17"/>
  <c r="F35" i="17"/>
  <c r="F34" i="17"/>
  <c r="F33" i="17"/>
  <c r="F32" i="17"/>
  <c r="F31" i="17"/>
  <c r="F30" i="17"/>
  <c r="F29" i="17"/>
  <c r="F28" i="17"/>
  <c r="F27" i="17"/>
  <c r="F26" i="17"/>
  <c r="B35" i="17"/>
  <c r="B36" i="17"/>
  <c r="B38" i="17"/>
  <c r="B34" i="17"/>
  <c r="B32" i="17"/>
  <c r="B30" i="17"/>
  <c r="B29" i="17"/>
  <c r="B28" i="17"/>
  <c r="B27" i="17"/>
  <c r="B26" i="17"/>
  <c r="T90" i="19"/>
  <c r="U90" i="19"/>
  <c r="V90" i="19"/>
  <c r="W90" i="19"/>
  <c r="T184" i="19"/>
  <c r="U184" i="19"/>
  <c r="V184" i="19"/>
  <c r="W184" i="19"/>
  <c r="T174" i="19"/>
  <c r="T171" i="19"/>
  <c r="U174" i="19"/>
  <c r="U171" i="19"/>
  <c r="V174" i="19"/>
  <c r="V171" i="19"/>
  <c r="W174" i="19"/>
  <c r="W171" i="19"/>
  <c r="L301" i="19"/>
  <c r="L291" i="19"/>
  <c r="L286" i="19"/>
  <c r="K236" i="19"/>
  <c r="K223" i="19"/>
  <c r="K208" i="19"/>
  <c r="J209" i="19"/>
  <c r="K203" i="19"/>
  <c r="K200" i="19"/>
  <c r="B6" i="13"/>
  <c r="B7" i="13"/>
  <c r="K195" i="19"/>
  <c r="L195" i="19"/>
  <c r="K194" i="19"/>
  <c r="L194" i="19"/>
  <c r="M194" i="19"/>
  <c r="K193" i="19"/>
  <c r="L193" i="19"/>
  <c r="M193" i="19"/>
  <c r="N193" i="19"/>
  <c r="O193" i="19"/>
  <c r="P193" i="19"/>
  <c r="Q193" i="19"/>
  <c r="R193" i="19"/>
  <c r="S193" i="19"/>
  <c r="T193" i="19"/>
  <c r="U193" i="19"/>
  <c r="V193" i="19"/>
  <c r="W193" i="19"/>
  <c r="S184" i="19"/>
  <c r="R184" i="19"/>
  <c r="Q184" i="19"/>
  <c r="P184" i="19"/>
  <c r="O184" i="19"/>
  <c r="N184" i="19"/>
  <c r="M184" i="19"/>
  <c r="S174" i="19"/>
  <c r="S171" i="19"/>
  <c r="R174" i="19"/>
  <c r="R171" i="19"/>
  <c r="Q174" i="19"/>
  <c r="Q171" i="19"/>
  <c r="P174" i="19"/>
  <c r="P171" i="19"/>
  <c r="O174" i="19"/>
  <c r="O171" i="19"/>
  <c r="N174" i="19"/>
  <c r="N171" i="19"/>
  <c r="M174" i="19"/>
  <c r="M171" i="19"/>
  <c r="E157" i="19"/>
  <c r="E158" i="19"/>
  <c r="E159" i="19"/>
  <c r="E160" i="19"/>
  <c r="E161" i="19"/>
  <c r="E162" i="19"/>
  <c r="E163" i="19"/>
  <c r="R152" i="19"/>
  <c r="S152" i="19"/>
  <c r="K147" i="19"/>
  <c r="K146" i="19"/>
  <c r="K145" i="19"/>
  <c r="K144" i="19"/>
  <c r="K143" i="19"/>
  <c r="K142" i="19"/>
  <c r="K141" i="19"/>
  <c r="K140" i="19"/>
  <c r="K139" i="19"/>
  <c r="K138" i="19"/>
  <c r="K137" i="19"/>
  <c r="K136" i="19"/>
  <c r="K135" i="19"/>
  <c r="K134" i="19"/>
  <c r="K133" i="19"/>
  <c r="K132" i="19"/>
  <c r="K131" i="19"/>
  <c r="K121" i="19"/>
  <c r="L121" i="19"/>
  <c r="M121" i="19"/>
  <c r="N121" i="19"/>
  <c r="O121" i="19"/>
  <c r="P121" i="19"/>
  <c r="Q121" i="19"/>
  <c r="R121" i="19"/>
  <c r="S121" i="19"/>
  <c r="T121" i="19"/>
  <c r="U121" i="19"/>
  <c r="V121" i="19"/>
  <c r="W121" i="19"/>
  <c r="K120" i="19"/>
  <c r="L120" i="19"/>
  <c r="K119" i="19"/>
  <c r="M119" i="19"/>
  <c r="N119" i="19"/>
  <c r="O119" i="19"/>
  <c r="P119" i="19"/>
  <c r="Q119" i="19"/>
  <c r="R119" i="19"/>
  <c r="S119" i="19"/>
  <c r="T119" i="19"/>
  <c r="U119" i="19"/>
  <c r="V119" i="19"/>
  <c r="W119" i="19"/>
  <c r="K118" i="19"/>
  <c r="K117" i="19"/>
  <c r="K116" i="19"/>
  <c r="L116" i="19"/>
  <c r="M116" i="19"/>
  <c r="N116" i="19"/>
  <c r="O116" i="19"/>
  <c r="P116" i="19"/>
  <c r="Q116" i="19"/>
  <c r="R116" i="19"/>
  <c r="S116" i="19"/>
  <c r="T116" i="19"/>
  <c r="U116" i="19"/>
  <c r="V116" i="19"/>
  <c r="W116" i="19"/>
  <c r="K115" i="19"/>
  <c r="K114" i="19"/>
  <c r="K113" i="19"/>
  <c r="K112" i="19"/>
  <c r="L112" i="19"/>
  <c r="M112" i="19"/>
  <c r="N112" i="19"/>
  <c r="O112" i="19"/>
  <c r="P112" i="19"/>
  <c r="Q112" i="19"/>
  <c r="R112" i="19"/>
  <c r="S112" i="19"/>
  <c r="T112" i="19"/>
  <c r="U112" i="19"/>
  <c r="V112" i="19"/>
  <c r="W112" i="19"/>
  <c r="K107" i="19"/>
  <c r="L107" i="19"/>
  <c r="K106" i="19"/>
  <c r="K105" i="19"/>
  <c r="K104" i="19"/>
  <c r="L104" i="19"/>
  <c r="M104" i="19"/>
  <c r="N104" i="19"/>
  <c r="O104" i="19"/>
  <c r="P104" i="19"/>
  <c r="Q104" i="19"/>
  <c r="R104" i="19"/>
  <c r="S104" i="19"/>
  <c r="T104" i="19"/>
  <c r="U104" i="19"/>
  <c r="V104" i="19"/>
  <c r="W104" i="19"/>
  <c r="K103" i="19"/>
  <c r="K102" i="19"/>
  <c r="L102" i="19"/>
  <c r="K101" i="19"/>
  <c r="L101" i="19"/>
  <c r="K100" i="19"/>
  <c r="L100" i="19"/>
  <c r="M100" i="19"/>
  <c r="N100" i="19"/>
  <c r="O100" i="19"/>
  <c r="P100" i="19"/>
  <c r="Q100" i="19"/>
  <c r="R100" i="19"/>
  <c r="S100" i="19"/>
  <c r="T100" i="19"/>
  <c r="U100" i="19"/>
  <c r="V100" i="19"/>
  <c r="W100" i="19"/>
  <c r="K99" i="19"/>
  <c r="L99" i="19"/>
  <c r="M99" i="19"/>
  <c r="N99" i="19"/>
  <c r="O99" i="19"/>
  <c r="P99" i="19"/>
  <c r="Q99" i="19"/>
  <c r="R99" i="19"/>
  <c r="S99" i="19"/>
  <c r="T99" i="19"/>
  <c r="U99" i="19"/>
  <c r="V99" i="19"/>
  <c r="W99" i="19"/>
  <c r="K98" i="19"/>
  <c r="S90" i="19"/>
  <c r="R90" i="19"/>
  <c r="Q90" i="19"/>
  <c r="P90" i="19"/>
  <c r="O90" i="19"/>
  <c r="N90" i="19"/>
  <c r="L90" i="19"/>
  <c r="M90" i="19"/>
  <c r="J76" i="19"/>
  <c r="L79" i="19"/>
  <c r="M79" i="19"/>
  <c r="J70" i="19"/>
  <c r="J66" i="19"/>
  <c r="J62" i="19"/>
  <c r="J64" i="19"/>
  <c r="M56" i="19"/>
  <c r="N56" i="19"/>
  <c r="L54" i="19"/>
  <c r="K54" i="19"/>
  <c r="K50" i="19"/>
  <c r="K20" i="19"/>
  <c r="K34" i="19"/>
  <c r="K35" i="19"/>
  <c r="J31" i="19"/>
  <c r="M25" i="19"/>
  <c r="M24" i="19"/>
  <c r="M23" i="19"/>
  <c r="M17" i="19"/>
  <c r="N17" i="19"/>
  <c r="O17" i="19"/>
  <c r="P17" i="19"/>
  <c r="Q17" i="19"/>
  <c r="R17" i="19"/>
  <c r="S17" i="19"/>
  <c r="T17" i="19"/>
  <c r="U17" i="19"/>
  <c r="M16" i="19"/>
  <c r="N16" i="19"/>
  <c r="O16" i="19"/>
  <c r="P16" i="19"/>
  <c r="Q16" i="19"/>
  <c r="R16" i="19"/>
  <c r="S16" i="19"/>
  <c r="T16" i="19"/>
  <c r="U16" i="19"/>
  <c r="V16" i="19"/>
  <c r="W16" i="19"/>
  <c r="M15" i="19"/>
  <c r="N15" i="19"/>
  <c r="O15" i="19"/>
  <c r="P15" i="19"/>
  <c r="Q15" i="19"/>
  <c r="R15" i="19"/>
  <c r="S15" i="19"/>
  <c r="T15" i="19"/>
  <c r="U15" i="19"/>
  <c r="V15" i="19"/>
  <c r="W15" i="19"/>
  <c r="M14" i="19"/>
  <c r="L11" i="19"/>
  <c r="K11" i="19"/>
  <c r="J82" i="10"/>
  <c r="J87" i="10"/>
  <c r="T82" i="10"/>
  <c r="T87" i="10"/>
  <c r="M82" i="10"/>
  <c r="M87" i="10"/>
  <c r="L82" i="10"/>
  <c r="L87" i="10"/>
  <c r="S82" i="10"/>
  <c r="S87" i="10"/>
  <c r="K82" i="10"/>
  <c r="K87" i="10"/>
  <c r="R82" i="10"/>
  <c r="R87" i="10"/>
  <c r="Q82" i="10"/>
  <c r="Q87" i="10"/>
  <c r="P82" i="10"/>
  <c r="P87" i="10"/>
  <c r="O82" i="10"/>
  <c r="O87" i="10"/>
  <c r="I58" i="10"/>
  <c r="I59" i="10"/>
  <c r="S286" i="19"/>
  <c r="S278" i="19"/>
  <c r="R276" i="19"/>
  <c r="R263" i="19"/>
  <c r="P276" i="19"/>
  <c r="V274" i="19"/>
  <c r="V272" i="19"/>
  <c r="V303" i="19"/>
  <c r="V301" i="19"/>
  <c r="V305" i="19"/>
  <c r="O276" i="19"/>
  <c r="O265" i="19"/>
  <c r="Q255" i="19"/>
  <c r="R257" i="19"/>
  <c r="R286" i="19"/>
  <c r="U274" i="19"/>
  <c r="U272" i="19"/>
  <c r="P294" i="19"/>
  <c r="P291" i="19"/>
  <c r="P286" i="19"/>
  <c r="P305" i="19"/>
  <c r="W265" i="19"/>
  <c r="O294" i="19"/>
  <c r="O291" i="19"/>
  <c r="O286" i="19"/>
  <c r="O305" i="19"/>
  <c r="O308" i="19"/>
  <c r="O250" i="19"/>
  <c r="V265" i="19"/>
  <c r="V291" i="19"/>
  <c r="Q286" i="19"/>
  <c r="Q305" i="19"/>
  <c r="Q276" i="19"/>
  <c r="Q263" i="19"/>
  <c r="U265" i="19"/>
  <c r="P265" i="19"/>
  <c r="P263" i="19"/>
  <c r="P255" i="19"/>
  <c r="S292" i="19"/>
  <c r="S291" i="19"/>
  <c r="T292" i="19"/>
  <c r="T291" i="19"/>
  <c r="T286" i="19"/>
  <c r="S303" i="19"/>
  <c r="S301" i="19"/>
  <c r="W294" i="19"/>
  <c r="W291" i="19"/>
  <c r="U291" i="19"/>
  <c r="U286" i="19"/>
  <c r="T265" i="19"/>
  <c r="O255" i="19"/>
  <c r="R292" i="19"/>
  <c r="R291" i="19"/>
  <c r="R303" i="19"/>
  <c r="R301" i="19"/>
  <c r="R305" i="19"/>
  <c r="V286" i="19"/>
  <c r="W286" i="19"/>
  <c r="T274" i="19"/>
  <c r="T272" i="19"/>
  <c r="N263" i="19"/>
  <c r="M263" i="19"/>
  <c r="L263" i="19"/>
  <c r="K248" i="19"/>
  <c r="K246" i="19"/>
  <c r="M179" i="19"/>
  <c r="N179" i="19"/>
  <c r="K265" i="19"/>
  <c r="K263" i="19"/>
  <c r="K281" i="19"/>
  <c r="N194" i="19"/>
  <c r="M195" i="19"/>
  <c r="N195" i="19"/>
  <c r="O195" i="19"/>
  <c r="P195" i="19"/>
  <c r="Q195" i="19"/>
  <c r="R195" i="19"/>
  <c r="S195" i="19"/>
  <c r="T195" i="19"/>
  <c r="U195" i="19"/>
  <c r="V195" i="19"/>
  <c r="W195" i="19"/>
  <c r="M178" i="19"/>
  <c r="J210" i="19"/>
  <c r="J211" i="19"/>
  <c r="W79" i="19"/>
  <c r="V79" i="19"/>
  <c r="U79" i="19"/>
  <c r="T79" i="19"/>
  <c r="V17" i="19"/>
  <c r="N305" i="19"/>
  <c r="N308" i="19"/>
  <c r="N250" i="19"/>
  <c r="N311" i="19"/>
  <c r="N312" i="19"/>
  <c r="K129" i="19"/>
  <c r="H154" i="19"/>
  <c r="I154" i="19"/>
  <c r="S79" i="19"/>
  <c r="L305" i="19"/>
  <c r="L308" i="19"/>
  <c r="L250" i="19"/>
  <c r="L311" i="19"/>
  <c r="L312" i="19"/>
  <c r="R79" i="19"/>
  <c r="O79" i="19"/>
  <c r="M107" i="19"/>
  <c r="N107" i="19"/>
  <c r="O107" i="19"/>
  <c r="P107" i="19"/>
  <c r="Q107" i="19"/>
  <c r="R107" i="19"/>
  <c r="S107" i="19"/>
  <c r="T107" i="19"/>
  <c r="U107" i="19"/>
  <c r="V107" i="19"/>
  <c r="W107" i="19"/>
  <c r="M120" i="19"/>
  <c r="N120" i="19"/>
  <c r="O120" i="19"/>
  <c r="P120" i="19"/>
  <c r="Q120" i="19"/>
  <c r="R120" i="19"/>
  <c r="S120" i="19"/>
  <c r="T120" i="19"/>
  <c r="U120" i="19"/>
  <c r="V120" i="19"/>
  <c r="W120" i="19"/>
  <c r="Q79" i="19"/>
  <c r="L114" i="19"/>
  <c r="M114" i="19"/>
  <c r="N114" i="19"/>
  <c r="O114" i="19"/>
  <c r="P114" i="19"/>
  <c r="Q114" i="19"/>
  <c r="R114" i="19"/>
  <c r="S114" i="19"/>
  <c r="T114" i="19"/>
  <c r="U114" i="19"/>
  <c r="V114" i="19"/>
  <c r="W114" i="19"/>
  <c r="P79" i="19"/>
  <c r="L34" i="19"/>
  <c r="K205" i="19"/>
  <c r="K213" i="19"/>
  <c r="N14" i="19"/>
  <c r="M11" i="19"/>
  <c r="L103" i="19"/>
  <c r="M103" i="19"/>
  <c r="N103" i="19"/>
  <c r="O103" i="19"/>
  <c r="P103" i="19"/>
  <c r="Q103" i="19"/>
  <c r="R103" i="19"/>
  <c r="S103" i="19"/>
  <c r="T103" i="19"/>
  <c r="U103" i="19"/>
  <c r="V103" i="19"/>
  <c r="W103" i="19"/>
  <c r="O56" i="19"/>
  <c r="N54" i="19"/>
  <c r="L113" i="19"/>
  <c r="M113" i="19"/>
  <c r="K40" i="19"/>
  <c r="K44" i="19"/>
  <c r="K39" i="19"/>
  <c r="L93" i="19"/>
  <c r="L87" i="19"/>
  <c r="M87" i="19"/>
  <c r="M101" i="19"/>
  <c r="N101" i="19"/>
  <c r="O101" i="19"/>
  <c r="P101" i="19"/>
  <c r="Q101" i="19"/>
  <c r="R101" i="19"/>
  <c r="S101" i="19"/>
  <c r="T101" i="19"/>
  <c r="U101" i="19"/>
  <c r="V101" i="19"/>
  <c r="W101" i="19"/>
  <c r="J67" i="19"/>
  <c r="J71" i="19"/>
  <c r="J73" i="19"/>
  <c r="M102" i="19"/>
  <c r="N102" i="19"/>
  <c r="O102" i="19"/>
  <c r="P102" i="19"/>
  <c r="Q102" i="19"/>
  <c r="R102" i="19"/>
  <c r="S102" i="19"/>
  <c r="T102" i="19"/>
  <c r="U102" i="19"/>
  <c r="V102" i="19"/>
  <c r="W102" i="19"/>
  <c r="L115" i="19"/>
  <c r="M115" i="19"/>
  <c r="N115" i="19"/>
  <c r="O115" i="19"/>
  <c r="P115" i="19"/>
  <c r="Q115" i="19"/>
  <c r="R115" i="19"/>
  <c r="S115" i="19"/>
  <c r="T115" i="19"/>
  <c r="U115" i="19"/>
  <c r="V115" i="19"/>
  <c r="W115" i="19"/>
  <c r="L105" i="19"/>
  <c r="M105" i="19"/>
  <c r="N105" i="19"/>
  <c r="O105" i="19"/>
  <c r="P105" i="19"/>
  <c r="Q105" i="19"/>
  <c r="R105" i="19"/>
  <c r="S105" i="19"/>
  <c r="T105" i="19"/>
  <c r="U105" i="19"/>
  <c r="V105" i="19"/>
  <c r="W105" i="19"/>
  <c r="L117" i="19"/>
  <c r="M117" i="19"/>
  <c r="N117" i="19"/>
  <c r="O117" i="19"/>
  <c r="P117" i="19"/>
  <c r="Q117" i="19"/>
  <c r="R117" i="19"/>
  <c r="S117" i="19"/>
  <c r="T117" i="19"/>
  <c r="U117" i="19"/>
  <c r="V117" i="19"/>
  <c r="W117" i="19"/>
  <c r="M54" i="19"/>
  <c r="L98" i="19"/>
  <c r="M98" i="19"/>
  <c r="N98" i="19"/>
  <c r="O98" i="19"/>
  <c r="P98" i="19"/>
  <c r="Q98" i="19"/>
  <c r="R98" i="19"/>
  <c r="S98" i="19"/>
  <c r="T98" i="19"/>
  <c r="U98" i="19"/>
  <c r="V98" i="19"/>
  <c r="W98" i="19"/>
  <c r="L106" i="19"/>
  <c r="M106" i="19"/>
  <c r="N106" i="19"/>
  <c r="O106" i="19"/>
  <c r="P106" i="19"/>
  <c r="Q106" i="19"/>
  <c r="R106" i="19"/>
  <c r="S106" i="19"/>
  <c r="T106" i="19"/>
  <c r="U106" i="19"/>
  <c r="V106" i="19"/>
  <c r="W106" i="19"/>
  <c r="L118" i="19"/>
  <c r="M118" i="19"/>
  <c r="N118" i="19"/>
  <c r="O118" i="19"/>
  <c r="P118" i="19"/>
  <c r="Q118" i="19"/>
  <c r="R118" i="19"/>
  <c r="S118" i="19"/>
  <c r="T118" i="19"/>
  <c r="U118" i="19"/>
  <c r="V118" i="19"/>
  <c r="W118" i="19"/>
  <c r="O248" i="19"/>
  <c r="O246" i="19"/>
  <c r="P307" i="19"/>
  <c r="P308" i="19"/>
  <c r="P250" i="19"/>
  <c r="O311" i="19"/>
  <c r="O312" i="19"/>
  <c r="W303" i="19"/>
  <c r="W301" i="19"/>
  <c r="W305" i="19"/>
  <c r="R255" i="19"/>
  <c r="S257" i="19"/>
  <c r="T303" i="19"/>
  <c r="T301" i="19"/>
  <c r="T305" i="19"/>
  <c r="U303" i="19"/>
  <c r="U301" i="19"/>
  <c r="U305" i="19"/>
  <c r="S305" i="19"/>
  <c r="O263" i="19"/>
  <c r="T278" i="19"/>
  <c r="S276" i="19"/>
  <c r="S263" i="19"/>
  <c r="K282" i="19"/>
  <c r="O179" i="19"/>
  <c r="O172" i="19"/>
  <c r="O229" i="19"/>
  <c r="N172" i="19"/>
  <c r="O194" i="19"/>
  <c r="N113" i="19"/>
  <c r="O113" i="19"/>
  <c r="S154" i="19"/>
  <c r="L154" i="19"/>
  <c r="L149" i="19"/>
  <c r="L223" i="19"/>
  <c r="M223" i="19"/>
  <c r="H155" i="19"/>
  <c r="I155" i="19"/>
  <c r="U155" i="19"/>
  <c r="R154" i="19"/>
  <c r="W17" i="19"/>
  <c r="O154" i="19"/>
  <c r="N154" i="19"/>
  <c r="N149" i="19"/>
  <c r="N223" i="19"/>
  <c r="P154" i="19"/>
  <c r="Q154" i="19"/>
  <c r="L35" i="19"/>
  <c r="L37" i="19"/>
  <c r="L47" i="19"/>
  <c r="M47" i="19"/>
  <c r="T155" i="19"/>
  <c r="W154" i="19"/>
  <c r="V154" i="19"/>
  <c r="T154" i="19"/>
  <c r="U154" i="19"/>
  <c r="C7" i="13"/>
  <c r="L39" i="19"/>
  <c r="M34" i="19"/>
  <c r="M39" i="19"/>
  <c r="L40" i="19"/>
  <c r="M93" i="19"/>
  <c r="M83" i="19"/>
  <c r="L83" i="19"/>
  <c r="K41" i="19"/>
  <c r="K43" i="19"/>
  <c r="K45" i="19"/>
  <c r="P56" i="19"/>
  <c r="O54" i="19"/>
  <c r="O14" i="19"/>
  <c r="N11" i="19"/>
  <c r="P311" i="19"/>
  <c r="P312" i="19"/>
  <c r="P248" i="19"/>
  <c r="P246" i="19"/>
  <c r="Q307" i="19"/>
  <c r="Q308" i="19"/>
  <c r="Q250" i="19"/>
  <c r="O282" i="19"/>
  <c r="O281" i="19"/>
  <c r="T276" i="19"/>
  <c r="T263" i="19"/>
  <c r="U278" i="19"/>
  <c r="T257" i="19"/>
  <c r="S255" i="19"/>
  <c r="P172" i="19"/>
  <c r="P229" i="19"/>
  <c r="P179" i="19"/>
  <c r="O178" i="19"/>
  <c r="N229" i="19"/>
  <c r="N178" i="19"/>
  <c r="P194" i="19"/>
  <c r="W155" i="19"/>
  <c r="Q155" i="19"/>
  <c r="V155" i="19"/>
  <c r="R155" i="19"/>
  <c r="S155" i="19"/>
  <c r="P113" i="19"/>
  <c r="P155" i="19"/>
  <c r="O155" i="19"/>
  <c r="O149" i="19"/>
  <c r="L44" i="19"/>
  <c r="M43" i="19"/>
  <c r="L41" i="19"/>
  <c r="L49" i="19"/>
  <c r="L50" i="19"/>
  <c r="L20" i="19"/>
  <c r="L200" i="19"/>
  <c r="B8" i="13"/>
  <c r="B9" i="13"/>
  <c r="M40" i="19"/>
  <c r="M41" i="19"/>
  <c r="M49" i="19"/>
  <c r="N34" i="19"/>
  <c r="O34" i="19"/>
  <c r="M35" i="19"/>
  <c r="M37" i="19"/>
  <c r="L43" i="19"/>
  <c r="Q56" i="19"/>
  <c r="P54" i="19"/>
  <c r="P14" i="19"/>
  <c r="O11" i="19"/>
  <c r="U257" i="19"/>
  <c r="T255" i="19"/>
  <c r="V278" i="19"/>
  <c r="U276" i="19"/>
  <c r="U263" i="19"/>
  <c r="R307" i="19"/>
  <c r="R308" i="19"/>
  <c r="R250" i="19"/>
  <c r="Q311" i="19"/>
  <c r="Q312" i="19"/>
  <c r="Q248" i="19"/>
  <c r="Q246" i="19"/>
  <c r="P281" i="19"/>
  <c r="P282" i="19"/>
  <c r="Q177" i="19"/>
  <c r="Q179" i="19"/>
  <c r="Q172" i="19"/>
  <c r="P178" i="19"/>
  <c r="Q194" i="19"/>
  <c r="Q113" i="19"/>
  <c r="H156" i="19"/>
  <c r="I156" i="19"/>
  <c r="P156" i="19"/>
  <c r="P149" i="19"/>
  <c r="O223" i="19"/>
  <c r="M44" i="19"/>
  <c r="M45" i="19"/>
  <c r="L45" i="19"/>
  <c r="N40" i="19"/>
  <c r="N39" i="19"/>
  <c r="N35" i="19"/>
  <c r="N37" i="19"/>
  <c r="N47" i="19"/>
  <c r="M50" i="19"/>
  <c r="M20" i="19"/>
  <c r="N93" i="19"/>
  <c r="O39" i="19"/>
  <c r="O40" i="19"/>
  <c r="O35" i="19"/>
  <c r="O37" i="19"/>
  <c r="P34" i="19"/>
  <c r="M200" i="19"/>
  <c r="L205" i="19"/>
  <c r="Q14" i="19"/>
  <c r="P11" i="19"/>
  <c r="R56" i="19"/>
  <c r="Q54" i="19"/>
  <c r="Q281" i="19"/>
  <c r="Q282" i="19"/>
  <c r="R248" i="19"/>
  <c r="R246" i="19"/>
  <c r="S307" i="19"/>
  <c r="S308" i="19"/>
  <c r="S250" i="19"/>
  <c r="R311" i="19"/>
  <c r="R312" i="19"/>
  <c r="W278" i="19"/>
  <c r="W276" i="19"/>
  <c r="W263" i="19"/>
  <c r="V276" i="19"/>
  <c r="V263" i="19"/>
  <c r="U255" i="19"/>
  <c r="V257" i="19"/>
  <c r="R177" i="19"/>
  <c r="R179" i="19"/>
  <c r="R172" i="19"/>
  <c r="R229" i="19"/>
  <c r="Q178" i="19"/>
  <c r="Q229" i="19"/>
  <c r="R178" i="19"/>
  <c r="R194" i="19"/>
  <c r="R156" i="19"/>
  <c r="V156" i="19"/>
  <c r="W156" i="19"/>
  <c r="S156" i="19"/>
  <c r="Q156" i="19"/>
  <c r="L208" i="19"/>
  <c r="L248" i="19"/>
  <c r="L246" i="19"/>
  <c r="L281" i="19"/>
  <c r="R113" i="19"/>
  <c r="H157" i="19"/>
  <c r="I157" i="19"/>
  <c r="P223" i="19"/>
  <c r="U156" i="19"/>
  <c r="T156" i="19"/>
  <c r="M205" i="19"/>
  <c r="B6" i="12"/>
  <c r="N43" i="19"/>
  <c r="N41" i="19"/>
  <c r="N49" i="19"/>
  <c r="N50" i="19"/>
  <c r="N20" i="19"/>
  <c r="O93" i="19"/>
  <c r="N44" i="19"/>
  <c r="O47" i="19"/>
  <c r="O44" i="19"/>
  <c r="N87" i="19"/>
  <c r="N83" i="19"/>
  <c r="S56" i="19"/>
  <c r="R54" i="19"/>
  <c r="R14" i="19"/>
  <c r="S14" i="19"/>
  <c r="T14" i="19"/>
  <c r="Q11" i="19"/>
  <c r="P35" i="19"/>
  <c r="P37" i="19"/>
  <c r="Q34" i="19"/>
  <c r="P39" i="19"/>
  <c r="P40" i="19"/>
  <c r="O41" i="19"/>
  <c r="O49" i="19"/>
  <c r="T307" i="19"/>
  <c r="T308" i="19"/>
  <c r="T250" i="19"/>
  <c r="S311" i="19"/>
  <c r="S312" i="19"/>
  <c r="S248" i="19"/>
  <c r="S246" i="19"/>
  <c r="R282" i="19"/>
  <c r="R281" i="19"/>
  <c r="V255" i="19"/>
  <c r="W257" i="19"/>
  <c r="W255" i="19"/>
  <c r="L282" i="19"/>
  <c r="S177" i="19"/>
  <c r="S179" i="19"/>
  <c r="S172" i="19"/>
  <c r="L213" i="19"/>
  <c r="L219" i="19"/>
  <c r="L225" i="19"/>
  <c r="L233" i="19"/>
  <c r="L239" i="19"/>
  <c r="S194" i="19"/>
  <c r="N45" i="19"/>
  <c r="W157" i="19"/>
  <c r="R157" i="19"/>
  <c r="Q157" i="19"/>
  <c r="Q149" i="19"/>
  <c r="S157" i="19"/>
  <c r="U157" i="19"/>
  <c r="T157" i="19"/>
  <c r="V157" i="19"/>
  <c r="S113" i="19"/>
  <c r="M248" i="19"/>
  <c r="M246" i="19"/>
  <c r="M281" i="19"/>
  <c r="P47" i="19"/>
  <c r="P43" i="19"/>
  <c r="S54" i="19"/>
  <c r="T56" i="19"/>
  <c r="U14" i="19"/>
  <c r="T11" i="19"/>
  <c r="O87" i="19"/>
  <c r="O83" i="19"/>
  <c r="N200" i="19"/>
  <c r="N201" i="19"/>
  <c r="O50" i="19"/>
  <c r="O20" i="19"/>
  <c r="P87" i="19"/>
  <c r="O43" i="19"/>
  <c r="O45" i="19"/>
  <c r="P41" i="19"/>
  <c r="P49" i="19"/>
  <c r="Q39" i="19"/>
  <c r="Q35" i="19"/>
  <c r="Q37" i="19"/>
  <c r="R34" i="19"/>
  <c r="Q40" i="19"/>
  <c r="R11" i="19"/>
  <c r="S11" i="19"/>
  <c r="K31" i="11"/>
  <c r="L31" i="11"/>
  <c r="M31" i="11"/>
  <c r="N31" i="11"/>
  <c r="O31" i="11"/>
  <c r="P31" i="11"/>
  <c r="Q31" i="11"/>
  <c r="R31" i="11"/>
  <c r="S31" i="11"/>
  <c r="T31" i="11"/>
  <c r="U31" i="11"/>
  <c r="V31" i="11"/>
  <c r="S281" i="19"/>
  <c r="S282" i="19"/>
  <c r="U307" i="19"/>
  <c r="U308" i="19"/>
  <c r="U250" i="19"/>
  <c r="T248" i="19"/>
  <c r="T246" i="19"/>
  <c r="T311" i="19"/>
  <c r="T312" i="19"/>
  <c r="M282" i="19"/>
  <c r="T177" i="19"/>
  <c r="T179" i="19"/>
  <c r="T172" i="19"/>
  <c r="S229" i="19"/>
  <c r="S178" i="19"/>
  <c r="M213" i="19"/>
  <c r="M219" i="19"/>
  <c r="M225" i="19"/>
  <c r="M233" i="19"/>
  <c r="M239" i="19"/>
  <c r="P44" i="19"/>
  <c r="P45" i="19"/>
  <c r="P50" i="19"/>
  <c r="P20" i="19"/>
  <c r="Q87" i="19"/>
  <c r="T194" i="19"/>
  <c r="H158" i="19"/>
  <c r="I158" i="19"/>
  <c r="Q223" i="19"/>
  <c r="Q47" i="19"/>
  <c r="Q44" i="19"/>
  <c r="P93" i="19"/>
  <c r="P83" i="19"/>
  <c r="T113" i="19"/>
  <c r="O200" i="19"/>
  <c r="O201" i="19"/>
  <c r="T54" i="19"/>
  <c r="U56" i="19"/>
  <c r="N205" i="19"/>
  <c r="B6" i="15"/>
  <c r="J6" i="17"/>
  <c r="V14" i="19"/>
  <c r="U11" i="19"/>
  <c r="Q41" i="19"/>
  <c r="Q49" i="19"/>
  <c r="R39" i="19"/>
  <c r="R35" i="19"/>
  <c r="R37" i="19"/>
  <c r="S34" i="19"/>
  <c r="T34" i="19"/>
  <c r="R40" i="19"/>
  <c r="T281" i="19"/>
  <c r="T282" i="19"/>
  <c r="V307" i="19"/>
  <c r="V308" i="19"/>
  <c r="V250" i="19"/>
  <c r="U248" i="19"/>
  <c r="U246" i="19"/>
  <c r="U311" i="19"/>
  <c r="U312" i="19"/>
  <c r="P200" i="19"/>
  <c r="U177" i="19"/>
  <c r="U179" i="19"/>
  <c r="U172" i="19"/>
  <c r="T229" i="19"/>
  <c r="T178" i="19"/>
  <c r="P201" i="19"/>
  <c r="U194" i="19"/>
  <c r="R47" i="19"/>
  <c r="R43" i="19"/>
  <c r="Q93" i="19"/>
  <c r="Q83" i="19"/>
  <c r="Q43" i="19"/>
  <c r="Q45" i="19"/>
  <c r="N208" i="19"/>
  <c r="N248" i="19"/>
  <c r="N246" i="19"/>
  <c r="N281" i="19"/>
  <c r="U113" i="19"/>
  <c r="Q50" i="19"/>
  <c r="Q20" i="19"/>
  <c r="R93" i="19"/>
  <c r="S158" i="19"/>
  <c r="R158" i="19"/>
  <c r="R149" i="19"/>
  <c r="T158" i="19"/>
  <c r="U158" i="19"/>
  <c r="V158" i="19"/>
  <c r="W158" i="19"/>
  <c r="O205" i="19"/>
  <c r="C6" i="15"/>
  <c r="C31" i="15"/>
  <c r="C32" i="15"/>
  <c r="B6" i="20"/>
  <c r="K6" i="17"/>
  <c r="P205" i="19"/>
  <c r="C6" i="20"/>
  <c r="W14" i="19"/>
  <c r="W11" i="19"/>
  <c r="V11" i="19"/>
  <c r="U34" i="19"/>
  <c r="T39" i="19"/>
  <c r="T35" i="19"/>
  <c r="T37" i="19"/>
  <c r="T40" i="19"/>
  <c r="V56" i="19"/>
  <c r="U54" i="19"/>
  <c r="S35" i="19"/>
  <c r="S39" i="19"/>
  <c r="S40" i="19"/>
  <c r="R41" i="19"/>
  <c r="R49" i="19"/>
  <c r="U282" i="19"/>
  <c r="U281" i="19"/>
  <c r="V248" i="19"/>
  <c r="V246" i="19"/>
  <c r="W307" i="19"/>
  <c r="W308" i="19"/>
  <c r="W250" i="19"/>
  <c r="V311" i="19"/>
  <c r="V312" i="19"/>
  <c r="N282" i="19"/>
  <c r="V177" i="19"/>
  <c r="V179" i="19"/>
  <c r="V172" i="19"/>
  <c r="U229" i="19"/>
  <c r="U178" i="19"/>
  <c r="R44" i="19"/>
  <c r="R45" i="19"/>
  <c r="R50" i="19"/>
  <c r="R20" i="19"/>
  <c r="S87" i="19"/>
  <c r="V194" i="19"/>
  <c r="N213" i="19"/>
  <c r="N219" i="19"/>
  <c r="N225" i="19"/>
  <c r="N233" i="19"/>
  <c r="N239" i="19"/>
  <c r="P208" i="19"/>
  <c r="H159" i="19"/>
  <c r="I159" i="19"/>
  <c r="R223" i="19"/>
  <c r="R87" i="19"/>
  <c r="R83" i="19"/>
  <c r="V113" i="19"/>
  <c r="Q200" i="19"/>
  <c r="Q201" i="19"/>
  <c r="O208" i="19"/>
  <c r="T41" i="19"/>
  <c r="T49" i="19"/>
  <c r="W56" i="19"/>
  <c r="W54" i="19"/>
  <c r="V54" i="19"/>
  <c r="V34" i="19"/>
  <c r="U39" i="19"/>
  <c r="U35" i="19"/>
  <c r="U37" i="19"/>
  <c r="U40" i="19"/>
  <c r="C8" i="20"/>
  <c r="C22" i="20"/>
  <c r="B38" i="20"/>
  <c r="B40" i="20"/>
  <c r="B22" i="20"/>
  <c r="B8" i="20"/>
  <c r="S37" i="19"/>
  <c r="S47" i="19"/>
  <c r="T47" i="19"/>
  <c r="S41" i="19"/>
  <c r="S49" i="19"/>
  <c r="W248" i="19"/>
  <c r="W246" i="19"/>
  <c r="W311" i="19"/>
  <c r="W312" i="19"/>
  <c r="V281" i="19"/>
  <c r="V282" i="19"/>
  <c r="R200" i="19"/>
  <c r="W177" i="19"/>
  <c r="W179" i="19"/>
  <c r="W172" i="19"/>
  <c r="V178" i="19"/>
  <c r="V229" i="19"/>
  <c r="R201" i="19"/>
  <c r="S93" i="19"/>
  <c r="S83" i="19"/>
  <c r="O213" i="19"/>
  <c r="O219" i="19"/>
  <c r="O225" i="19"/>
  <c r="O233" i="19"/>
  <c r="O239" i="19"/>
  <c r="W194" i="19"/>
  <c r="P213" i="19"/>
  <c r="P219" i="19"/>
  <c r="P225" i="19"/>
  <c r="P233" i="19"/>
  <c r="P239" i="19"/>
  <c r="Q205" i="19"/>
  <c r="Q208" i="19"/>
  <c r="U41" i="19"/>
  <c r="U49" i="19"/>
  <c r="D6" i="20"/>
  <c r="W113" i="19"/>
  <c r="T159" i="19"/>
  <c r="S159" i="19"/>
  <c r="S149" i="19"/>
  <c r="U159" i="19"/>
  <c r="W159" i="19"/>
  <c r="V159" i="19"/>
  <c r="W34" i="19"/>
  <c r="V40" i="19"/>
  <c r="V35" i="19"/>
  <c r="V37" i="19"/>
  <c r="V39" i="19"/>
  <c r="U47" i="19"/>
  <c r="T50" i="19"/>
  <c r="T20" i="19"/>
  <c r="T43" i="19"/>
  <c r="T44" i="19"/>
  <c r="R205" i="19"/>
  <c r="E6" i="20"/>
  <c r="B29" i="20"/>
  <c r="B30" i="20"/>
  <c r="B27" i="20"/>
  <c r="B23" i="20"/>
  <c r="B31" i="20"/>
  <c r="B42" i="20"/>
  <c r="C27" i="20"/>
  <c r="C28" i="20"/>
  <c r="C23" i="20"/>
  <c r="C31" i="20"/>
  <c r="C29" i="20"/>
  <c r="C30" i="20"/>
  <c r="S44" i="19"/>
  <c r="S43" i="19"/>
  <c r="S50" i="19"/>
  <c r="B70" i="20"/>
  <c r="W282" i="19"/>
  <c r="W281" i="19"/>
  <c r="W229" i="19"/>
  <c r="W178" i="19"/>
  <c r="D22" i="20"/>
  <c r="D27" i="20"/>
  <c r="D28" i="20"/>
  <c r="D8" i="20"/>
  <c r="Q213" i="19"/>
  <c r="Q219" i="19"/>
  <c r="Q225" i="19"/>
  <c r="Q233" i="19"/>
  <c r="Q239" i="19"/>
  <c r="H160" i="19"/>
  <c r="I160" i="19"/>
  <c r="S223" i="19"/>
  <c r="R208" i="19"/>
  <c r="V41" i="19"/>
  <c r="V49" i="19"/>
  <c r="W39" i="19"/>
  <c r="W35" i="19"/>
  <c r="W37" i="19"/>
  <c r="W40" i="19"/>
  <c r="C25" i="20"/>
  <c r="C24" i="20"/>
  <c r="B25" i="20"/>
  <c r="B24" i="20"/>
  <c r="S45" i="19"/>
  <c r="T45" i="19"/>
  <c r="E8" i="20"/>
  <c r="E22" i="20"/>
  <c r="U93" i="19"/>
  <c r="U87" i="19"/>
  <c r="U50" i="19"/>
  <c r="U20" i="19"/>
  <c r="U43" i="19"/>
  <c r="U44" i="19"/>
  <c r="V47" i="19"/>
  <c r="B46" i="20"/>
  <c r="B58" i="20"/>
  <c r="B28" i="20"/>
  <c r="S20" i="19"/>
  <c r="S200" i="19"/>
  <c r="S201" i="19"/>
  <c r="K90" i="11"/>
  <c r="L90" i="11"/>
  <c r="M90" i="11"/>
  <c r="N90" i="11"/>
  <c r="O90" i="11"/>
  <c r="P90" i="11"/>
  <c r="Q90" i="11"/>
  <c r="R90" i="11"/>
  <c r="S90" i="11"/>
  <c r="T90" i="11"/>
  <c r="U90" i="11"/>
  <c r="V90" i="11"/>
  <c r="J90" i="11"/>
  <c r="K77" i="11"/>
  <c r="L77" i="11"/>
  <c r="M77" i="11"/>
  <c r="N77" i="11"/>
  <c r="O77" i="11"/>
  <c r="P77" i="11"/>
  <c r="P75" i="11"/>
  <c r="Q77" i="11"/>
  <c r="R77" i="11"/>
  <c r="S77" i="11"/>
  <c r="T77" i="11"/>
  <c r="U77" i="11"/>
  <c r="V77" i="11"/>
  <c r="J77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J11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J102" i="11"/>
  <c r="C33" i="15"/>
  <c r="C34" i="15"/>
  <c r="C35" i="15"/>
  <c r="B8" i="15"/>
  <c r="C8" i="15"/>
  <c r="C36" i="15"/>
  <c r="C26" i="17"/>
  <c r="C31" i="17"/>
  <c r="C32" i="17"/>
  <c r="D26" i="17"/>
  <c r="D33" i="17"/>
  <c r="E26" i="17"/>
  <c r="E35" i="17"/>
  <c r="G26" i="17"/>
  <c r="G27" i="17"/>
  <c r="H26" i="17"/>
  <c r="H27" i="17"/>
  <c r="I26" i="17"/>
  <c r="I33" i="17"/>
  <c r="E31" i="17"/>
  <c r="E32" i="17"/>
  <c r="G33" i="17"/>
  <c r="E34" i="17"/>
  <c r="K7" i="17"/>
  <c r="J7" i="17"/>
  <c r="B8" i="17"/>
  <c r="C8" i="17"/>
  <c r="D8" i="17"/>
  <c r="E8" i="17"/>
  <c r="F8" i="17"/>
  <c r="G8" i="17"/>
  <c r="H8" i="17"/>
  <c r="I8" i="17"/>
  <c r="B30" i="13"/>
  <c r="B29" i="13"/>
  <c r="I29" i="13"/>
  <c r="E10" i="13"/>
  <c r="C10" i="13"/>
  <c r="D7" i="13"/>
  <c r="D6" i="13"/>
  <c r="D10" i="13"/>
  <c r="C45" i="20"/>
  <c r="C46" i="20"/>
  <c r="C58" i="20"/>
  <c r="B62" i="20"/>
  <c r="B59" i="20"/>
  <c r="B60" i="20"/>
  <c r="C26" i="20"/>
  <c r="C32" i="20"/>
  <c r="C33" i="20"/>
  <c r="D29" i="20"/>
  <c r="D30" i="20"/>
  <c r="D31" i="20"/>
  <c r="D23" i="20"/>
  <c r="D24" i="20"/>
  <c r="R213" i="19"/>
  <c r="R219" i="19"/>
  <c r="R225" i="19"/>
  <c r="R233" i="19"/>
  <c r="R239" i="19"/>
  <c r="W160" i="19"/>
  <c r="T160" i="19"/>
  <c r="T149" i="19"/>
  <c r="U160" i="19"/>
  <c r="V160" i="19"/>
  <c r="C10" i="15"/>
  <c r="C14" i="15"/>
  <c r="U45" i="19"/>
  <c r="V93" i="19"/>
  <c r="V87" i="19"/>
  <c r="B26" i="20"/>
  <c r="V50" i="19"/>
  <c r="V20" i="19"/>
  <c r="V43" i="19"/>
  <c r="V44" i="19"/>
  <c r="W47" i="19"/>
  <c r="W41" i="19"/>
  <c r="W49" i="19"/>
  <c r="B36" i="15"/>
  <c r="D36" i="15"/>
  <c r="B10" i="15"/>
  <c r="B14" i="15"/>
  <c r="B31" i="15"/>
  <c r="D31" i="15"/>
  <c r="S205" i="19"/>
  <c r="F6" i="20"/>
  <c r="U83" i="19"/>
  <c r="U200" i="19"/>
  <c r="E27" i="20"/>
  <c r="E31" i="20"/>
  <c r="E29" i="20"/>
  <c r="E30" i="20"/>
  <c r="E23" i="20"/>
  <c r="T93" i="19"/>
  <c r="T87" i="19"/>
  <c r="I31" i="17"/>
  <c r="I32" i="17"/>
  <c r="I27" i="17"/>
  <c r="I28" i="17"/>
  <c r="I34" i="17"/>
  <c r="I35" i="17"/>
  <c r="H31" i="17"/>
  <c r="H32" i="17"/>
  <c r="H34" i="17"/>
  <c r="G31" i="17"/>
  <c r="G32" i="17"/>
  <c r="K8" i="17"/>
  <c r="G34" i="17"/>
  <c r="K27" i="17"/>
  <c r="K34" i="17"/>
  <c r="K26" i="17"/>
  <c r="E27" i="17"/>
  <c r="E33" i="17"/>
  <c r="J33" i="17"/>
  <c r="D34" i="17"/>
  <c r="D35" i="17"/>
  <c r="D27" i="17"/>
  <c r="D29" i="17"/>
  <c r="C34" i="17"/>
  <c r="C33" i="17"/>
  <c r="J26" i="17"/>
  <c r="J35" i="17"/>
  <c r="B31" i="17"/>
  <c r="J8" i="17"/>
  <c r="C38" i="15"/>
  <c r="C37" i="15"/>
  <c r="B38" i="15"/>
  <c r="B37" i="15"/>
  <c r="S75" i="11"/>
  <c r="K75" i="11"/>
  <c r="Q75" i="11"/>
  <c r="V75" i="11"/>
  <c r="G30" i="13"/>
  <c r="H30" i="13"/>
  <c r="L30" i="13"/>
  <c r="L29" i="13"/>
  <c r="J29" i="13"/>
  <c r="C29" i="13"/>
  <c r="E29" i="13"/>
  <c r="K29" i="13"/>
  <c r="M30" i="13"/>
  <c r="M29" i="13"/>
  <c r="K30" i="13"/>
  <c r="C30" i="13"/>
  <c r="J30" i="13"/>
  <c r="G29" i="13"/>
  <c r="I30" i="13"/>
  <c r="U75" i="11"/>
  <c r="T75" i="11"/>
  <c r="L75" i="11"/>
  <c r="M75" i="11"/>
  <c r="R75" i="11"/>
  <c r="J75" i="11"/>
  <c r="J119" i="11"/>
  <c r="O75" i="11"/>
  <c r="N75" i="11"/>
  <c r="H29" i="17"/>
  <c r="H28" i="17"/>
  <c r="G29" i="17"/>
  <c r="G28" i="17"/>
  <c r="G30" i="17"/>
  <c r="K28" i="17"/>
  <c r="C35" i="17"/>
  <c r="D28" i="17"/>
  <c r="D30" i="17"/>
  <c r="C27" i="17"/>
  <c r="H33" i="17"/>
  <c r="G35" i="17"/>
  <c r="I29" i="17"/>
  <c r="I30" i="17"/>
  <c r="I36" i="17"/>
  <c r="H35" i="17"/>
  <c r="D31" i="17"/>
  <c r="D32" i="17"/>
  <c r="C70" i="20"/>
  <c r="C59" i="20"/>
  <c r="C60" i="20"/>
  <c r="C61" i="20"/>
  <c r="C62" i="20"/>
  <c r="B61" i="20"/>
  <c r="C34" i="20"/>
  <c r="D25" i="20"/>
  <c r="D26" i="20"/>
  <c r="D32" i="20"/>
  <c r="D33" i="20"/>
  <c r="S208" i="19"/>
  <c r="H161" i="19"/>
  <c r="I161" i="19"/>
  <c r="T223" i="19"/>
  <c r="T83" i="19"/>
  <c r="T200" i="19"/>
  <c r="G6" i="20"/>
  <c r="C39" i="15"/>
  <c r="C40" i="15"/>
  <c r="E24" i="20"/>
  <c r="E25" i="20"/>
  <c r="U205" i="19"/>
  <c r="H6" i="20"/>
  <c r="W50" i="19"/>
  <c r="W20" i="19"/>
  <c r="W44" i="19"/>
  <c r="W43" i="19"/>
  <c r="B32" i="20"/>
  <c r="E28" i="20"/>
  <c r="V45" i="19"/>
  <c r="V83" i="19"/>
  <c r="V200" i="19"/>
  <c r="V201" i="19"/>
  <c r="F22" i="20"/>
  <c r="F8" i="20"/>
  <c r="W87" i="19"/>
  <c r="W93" i="19"/>
  <c r="D37" i="15"/>
  <c r="K33" i="17"/>
  <c r="H30" i="17"/>
  <c r="H36" i="17"/>
  <c r="H37" i="17"/>
  <c r="K29" i="17"/>
  <c r="K35" i="17"/>
  <c r="K32" i="17"/>
  <c r="K31" i="17"/>
  <c r="E29" i="17"/>
  <c r="E28" i="17"/>
  <c r="D36" i="17"/>
  <c r="D38" i="17"/>
  <c r="J32" i="17"/>
  <c r="J31" i="17"/>
  <c r="J34" i="17"/>
  <c r="J29" i="17"/>
  <c r="J27" i="17"/>
  <c r="D38" i="15"/>
  <c r="B32" i="15"/>
  <c r="B33" i="15"/>
  <c r="D33" i="15"/>
  <c r="B35" i="15"/>
  <c r="D35" i="15"/>
  <c r="K119" i="11"/>
  <c r="J116" i="11"/>
  <c r="J100" i="11"/>
  <c r="J125" i="11"/>
  <c r="B10" i="13"/>
  <c r="D8" i="13"/>
  <c r="B31" i="13"/>
  <c r="D29" i="13"/>
  <c r="F29" i="13"/>
  <c r="B32" i="13"/>
  <c r="D9" i="13"/>
  <c r="H29" i="13"/>
  <c r="D30" i="13"/>
  <c r="E30" i="13"/>
  <c r="C29" i="17"/>
  <c r="C28" i="17"/>
  <c r="C30" i="17"/>
  <c r="C36" i="17"/>
  <c r="I38" i="17"/>
  <c r="I37" i="17"/>
  <c r="G36" i="17"/>
  <c r="H38" i="17"/>
  <c r="C68" i="20"/>
  <c r="C66" i="20"/>
  <c r="C67" i="20"/>
  <c r="B66" i="20"/>
  <c r="B68" i="20"/>
  <c r="D45" i="20"/>
  <c r="D46" i="20"/>
  <c r="D58" i="20"/>
  <c r="S213" i="19"/>
  <c r="S219" i="19"/>
  <c r="S225" i="19"/>
  <c r="S233" i="19"/>
  <c r="S239" i="19"/>
  <c r="D34" i="20"/>
  <c r="U201" i="19"/>
  <c r="U161" i="19"/>
  <c r="U149" i="19"/>
  <c r="V161" i="19"/>
  <c r="W161" i="19"/>
  <c r="T205" i="19"/>
  <c r="T201" i="19"/>
  <c r="U208" i="19"/>
  <c r="E26" i="20"/>
  <c r="E32" i="20"/>
  <c r="E33" i="20"/>
  <c r="C41" i="15"/>
  <c r="H22" i="20"/>
  <c r="H8" i="20"/>
  <c r="W83" i="19"/>
  <c r="W200" i="19"/>
  <c r="W201" i="19"/>
  <c r="B33" i="20"/>
  <c r="B34" i="20"/>
  <c r="V205" i="19"/>
  <c r="I6" i="20"/>
  <c r="G22" i="20"/>
  <c r="G8" i="20"/>
  <c r="F23" i="20"/>
  <c r="F31" i="20"/>
  <c r="F30" i="20"/>
  <c r="F29" i="20"/>
  <c r="F27" i="20"/>
  <c r="W45" i="19"/>
  <c r="F36" i="17"/>
  <c r="K36" i="17"/>
  <c r="K37" i="17"/>
  <c r="K30" i="17"/>
  <c r="E30" i="17"/>
  <c r="E36" i="17"/>
  <c r="D37" i="17"/>
  <c r="J28" i="17"/>
  <c r="D32" i="15"/>
  <c r="B34" i="15"/>
  <c r="B8" i="12"/>
  <c r="B25" i="12"/>
  <c r="D25" i="12"/>
  <c r="B24" i="12"/>
  <c r="D24" i="12"/>
  <c r="I32" i="13"/>
  <c r="M32" i="13"/>
  <c r="K32" i="13"/>
  <c r="C32" i="13"/>
  <c r="J32" i="13"/>
  <c r="L32" i="13"/>
  <c r="G32" i="13"/>
  <c r="H32" i="13"/>
  <c r="M31" i="13"/>
  <c r="C31" i="13"/>
  <c r="I31" i="13"/>
  <c r="B33" i="13"/>
  <c r="K31" i="13"/>
  <c r="L31" i="13"/>
  <c r="G31" i="13"/>
  <c r="J31" i="13"/>
  <c r="F30" i="13"/>
  <c r="N29" i="13"/>
  <c r="G37" i="17"/>
  <c r="G38" i="17"/>
  <c r="C38" i="17"/>
  <c r="C37" i="17"/>
  <c r="L59" i="11"/>
  <c r="M59" i="11"/>
  <c r="N59" i="11"/>
  <c r="O59" i="11"/>
  <c r="P59" i="11"/>
  <c r="Q59" i="11"/>
  <c r="R59" i="11"/>
  <c r="S59" i="11"/>
  <c r="T59" i="11"/>
  <c r="U59" i="11"/>
  <c r="V59" i="11"/>
  <c r="K59" i="11"/>
  <c r="L55" i="11"/>
  <c r="M55" i="11"/>
  <c r="N55" i="11"/>
  <c r="O55" i="11"/>
  <c r="P55" i="11"/>
  <c r="Q55" i="11"/>
  <c r="R55" i="11"/>
  <c r="S55" i="11"/>
  <c r="T55" i="11"/>
  <c r="U55" i="11"/>
  <c r="V55" i="11"/>
  <c r="K55" i="11"/>
  <c r="L10" i="11"/>
  <c r="L15" i="11"/>
  <c r="L30" i="11"/>
  <c r="K33" i="11"/>
  <c r="K45" i="11"/>
  <c r="M33" i="11"/>
  <c r="M45" i="11"/>
  <c r="N33" i="11"/>
  <c r="N45" i="11"/>
  <c r="O33" i="11"/>
  <c r="O45" i="11"/>
  <c r="P33" i="11"/>
  <c r="P45" i="11"/>
  <c r="Q33" i="11"/>
  <c r="Q45" i="11"/>
  <c r="R33" i="11"/>
  <c r="R45" i="11"/>
  <c r="S33" i="11"/>
  <c r="S45" i="11"/>
  <c r="T33" i="11"/>
  <c r="T45" i="11"/>
  <c r="U33" i="11"/>
  <c r="U45" i="11"/>
  <c r="V33" i="11"/>
  <c r="L33" i="11"/>
  <c r="L45" i="11"/>
  <c r="N30" i="11"/>
  <c r="O30" i="11"/>
  <c r="P30" i="11"/>
  <c r="Q30" i="11"/>
  <c r="R30" i="11"/>
  <c r="S30" i="11"/>
  <c r="T30" i="11"/>
  <c r="U30" i="11"/>
  <c r="V30" i="11"/>
  <c r="M30" i="11"/>
  <c r="N15" i="11"/>
  <c r="O15" i="11"/>
  <c r="P15" i="11"/>
  <c r="Q15" i="11"/>
  <c r="R15" i="11"/>
  <c r="S15" i="11"/>
  <c r="T15" i="11"/>
  <c r="U15" i="11"/>
  <c r="V15" i="11"/>
  <c r="M15" i="11"/>
  <c r="N10" i="11"/>
  <c r="O10" i="11"/>
  <c r="P10" i="11"/>
  <c r="Q10" i="11"/>
  <c r="R10" i="11"/>
  <c r="S10" i="11"/>
  <c r="T10" i="11"/>
  <c r="U10" i="11"/>
  <c r="V10" i="11"/>
  <c r="M10" i="11"/>
  <c r="N13" i="9"/>
  <c r="O13" i="9"/>
  <c r="P13" i="9"/>
  <c r="Q13" i="9"/>
  <c r="R13" i="9"/>
  <c r="S13" i="9"/>
  <c r="N14" i="9"/>
  <c r="O14" i="9"/>
  <c r="P14" i="9"/>
  <c r="Q14" i="9"/>
  <c r="R14" i="9"/>
  <c r="S14" i="9"/>
  <c r="N15" i="9"/>
  <c r="O15" i="9"/>
  <c r="P15" i="9"/>
  <c r="Q15" i="9"/>
  <c r="R15" i="9"/>
  <c r="S15" i="9"/>
  <c r="N16" i="9"/>
  <c r="O16" i="9"/>
  <c r="P16" i="9"/>
  <c r="Q16" i="9"/>
  <c r="R16" i="9"/>
  <c r="S16" i="9"/>
  <c r="N9" i="9"/>
  <c r="O9" i="9"/>
  <c r="P9" i="9"/>
  <c r="Q9" i="9"/>
  <c r="R9" i="9"/>
  <c r="S9" i="9"/>
  <c r="N8" i="9"/>
  <c r="O8" i="9"/>
  <c r="P8" i="9"/>
  <c r="Q8" i="9"/>
  <c r="R8" i="9"/>
  <c r="S8" i="9"/>
  <c r="M16" i="9"/>
  <c r="M15" i="9"/>
  <c r="M14" i="9"/>
  <c r="M13" i="9"/>
  <c r="M9" i="9"/>
  <c r="M8" i="9"/>
  <c r="I41" i="10"/>
  <c r="I42" i="10"/>
  <c r="I36" i="10"/>
  <c r="I37" i="10"/>
  <c r="I31" i="10"/>
  <c r="I32" i="10"/>
  <c r="I26" i="10"/>
  <c r="I27" i="10"/>
  <c r="I11" i="10"/>
  <c r="I12" i="10"/>
  <c r="I16" i="10"/>
  <c r="I17" i="10"/>
  <c r="I21" i="10"/>
  <c r="I22" i="10"/>
  <c r="B67" i="20"/>
  <c r="D62" i="20"/>
  <c r="D59" i="20"/>
  <c r="D60" i="20"/>
  <c r="D70" i="20"/>
  <c r="E45" i="20"/>
  <c r="U213" i="19"/>
  <c r="U219" i="19"/>
  <c r="V208" i="19"/>
  <c r="T208" i="19"/>
  <c r="H162" i="19"/>
  <c r="I162" i="19"/>
  <c r="U223" i="19"/>
  <c r="E34" i="20"/>
  <c r="W205" i="19"/>
  <c r="J6" i="20"/>
  <c r="F28" i="20"/>
  <c r="G29" i="20"/>
  <c r="G27" i="20"/>
  <c r="G28" i="20"/>
  <c r="G31" i="20"/>
  <c r="G30" i="20"/>
  <c r="G23" i="20"/>
  <c r="F24" i="20"/>
  <c r="F25" i="20"/>
  <c r="I22" i="20"/>
  <c r="I8" i="20"/>
  <c r="H31" i="20"/>
  <c r="H23" i="20"/>
  <c r="H29" i="20"/>
  <c r="H30" i="20"/>
  <c r="H27" i="20"/>
  <c r="H28" i="20"/>
  <c r="F38" i="17"/>
  <c r="K38" i="17"/>
  <c r="F37" i="17"/>
  <c r="E37" i="17"/>
  <c r="E38" i="17"/>
  <c r="J30" i="17"/>
  <c r="I45" i="10"/>
  <c r="I54" i="10"/>
  <c r="I61" i="10"/>
  <c r="B39" i="15"/>
  <c r="D34" i="15"/>
  <c r="T51" i="11"/>
  <c r="T53" i="11"/>
  <c r="T47" i="11"/>
  <c r="T46" i="11"/>
  <c r="K51" i="11"/>
  <c r="K53" i="11"/>
  <c r="K47" i="11"/>
  <c r="K231" i="19"/>
  <c r="R51" i="11"/>
  <c r="R53" i="11"/>
  <c r="R47" i="11"/>
  <c r="R46" i="11"/>
  <c r="Q51" i="11"/>
  <c r="Q53" i="11"/>
  <c r="Q47" i="11"/>
  <c r="Q46" i="11"/>
  <c r="P51" i="11"/>
  <c r="P53" i="11"/>
  <c r="P47" i="11"/>
  <c r="P46" i="11"/>
  <c r="L51" i="11"/>
  <c r="L53" i="11"/>
  <c r="L47" i="11"/>
  <c r="L46" i="11"/>
  <c r="O51" i="11"/>
  <c r="O53" i="11"/>
  <c r="O47" i="11"/>
  <c r="O46" i="11"/>
  <c r="S51" i="11"/>
  <c r="S53" i="11"/>
  <c r="S47" i="11"/>
  <c r="S46" i="11"/>
  <c r="K217" i="19"/>
  <c r="K219" i="19"/>
  <c r="K225" i="19"/>
  <c r="V45" i="11"/>
  <c r="N51" i="11"/>
  <c r="N53" i="11"/>
  <c r="N47" i="11"/>
  <c r="N46" i="11"/>
  <c r="U51" i="11"/>
  <c r="U53" i="11"/>
  <c r="U47" i="11"/>
  <c r="U46" i="11"/>
  <c r="M51" i="11"/>
  <c r="M53" i="11"/>
  <c r="M47" i="11"/>
  <c r="M46" i="11"/>
  <c r="M33" i="13"/>
  <c r="L33" i="13"/>
  <c r="K33" i="13"/>
  <c r="I33" i="13"/>
  <c r="D32" i="13"/>
  <c r="E32" i="13"/>
  <c r="E31" i="13"/>
  <c r="D31" i="13"/>
  <c r="C33" i="13"/>
  <c r="J33" i="13"/>
  <c r="H31" i="13"/>
  <c r="H33" i="13"/>
  <c r="G33" i="13"/>
  <c r="B10" i="12"/>
  <c r="B14" i="12"/>
  <c r="B21" i="12"/>
  <c r="B27" i="12"/>
  <c r="D27" i="12"/>
  <c r="B26" i="12"/>
  <c r="D26" i="12"/>
  <c r="B28" i="12"/>
  <c r="D28" i="12"/>
  <c r="N30" i="13"/>
  <c r="K62" i="11"/>
  <c r="K68" i="11"/>
  <c r="S62" i="11"/>
  <c r="S68" i="11"/>
  <c r="I62" i="10"/>
  <c r="I78" i="10"/>
  <c r="E70" i="20"/>
  <c r="E46" i="20"/>
  <c r="E58" i="20"/>
  <c r="D61" i="20"/>
  <c r="U225" i="19"/>
  <c r="U233" i="19"/>
  <c r="U239" i="19"/>
  <c r="T213" i="19"/>
  <c r="T219" i="19"/>
  <c r="T225" i="19"/>
  <c r="T233" i="19"/>
  <c r="T239" i="19"/>
  <c r="V213" i="19"/>
  <c r="V219" i="19"/>
  <c r="W162" i="19"/>
  <c r="V162" i="19"/>
  <c r="V149" i="19"/>
  <c r="K233" i="19"/>
  <c r="K239" i="19"/>
  <c r="W208" i="19"/>
  <c r="J22" i="20"/>
  <c r="J8" i="20"/>
  <c r="I29" i="20"/>
  <c r="I31" i="20"/>
  <c r="I23" i="20"/>
  <c r="I30" i="20"/>
  <c r="I27" i="20"/>
  <c r="I28" i="20"/>
  <c r="F26" i="20"/>
  <c r="G25" i="20"/>
  <c r="G24" i="20"/>
  <c r="H25" i="20"/>
  <c r="H24" i="20"/>
  <c r="J36" i="17"/>
  <c r="J37" i="17"/>
  <c r="J38" i="17"/>
  <c r="B37" i="17"/>
  <c r="B41" i="15"/>
  <c r="D41" i="15"/>
  <c r="D39" i="15"/>
  <c r="D40" i="15"/>
  <c r="B40" i="15"/>
  <c r="L62" i="11"/>
  <c r="L68" i="11"/>
  <c r="L121" i="11"/>
  <c r="N62" i="11"/>
  <c r="N68" i="11"/>
  <c r="N70" i="11"/>
  <c r="L52" i="11"/>
  <c r="O52" i="11"/>
  <c r="Q62" i="11"/>
  <c r="Q68" i="11"/>
  <c r="O62" i="11"/>
  <c r="O68" i="11"/>
  <c r="O121" i="11"/>
  <c r="U62" i="11"/>
  <c r="U68" i="11"/>
  <c r="U52" i="11"/>
  <c r="T62" i="11"/>
  <c r="T63" i="11"/>
  <c r="R62" i="11"/>
  <c r="R68" i="11"/>
  <c r="R121" i="11"/>
  <c r="N52" i="11"/>
  <c r="R52" i="11"/>
  <c r="T52" i="11"/>
  <c r="S52" i="11"/>
  <c r="S121" i="11"/>
  <c r="S70" i="11"/>
  <c r="K70" i="11"/>
  <c r="K121" i="11"/>
  <c r="M52" i="11"/>
  <c r="M62" i="11"/>
  <c r="P62" i="11"/>
  <c r="P63" i="11"/>
  <c r="Q52" i="11"/>
  <c r="P52" i="11"/>
  <c r="V51" i="11"/>
  <c r="V47" i="11"/>
  <c r="V46" i="11"/>
  <c r="E33" i="13"/>
  <c r="F31" i="13"/>
  <c r="D33" i="13"/>
  <c r="F32" i="13"/>
  <c r="N32" i="13"/>
  <c r="S63" i="11"/>
  <c r="L69" i="11"/>
  <c r="U87" i="10"/>
  <c r="U91" i="10"/>
  <c r="N91" i="10"/>
  <c r="L91" i="10"/>
  <c r="S91" i="10"/>
  <c r="Q91" i="10"/>
  <c r="R91" i="10"/>
  <c r="M91" i="10"/>
  <c r="O91" i="10"/>
  <c r="T91" i="10"/>
  <c r="P91" i="10"/>
  <c r="J91" i="10"/>
  <c r="K91" i="10"/>
  <c r="D66" i="20"/>
  <c r="D68" i="20"/>
  <c r="E62" i="20"/>
  <c r="E59" i="20"/>
  <c r="E60" i="20"/>
  <c r="F45" i="20"/>
  <c r="F46" i="20"/>
  <c r="F58" i="20"/>
  <c r="W213" i="19"/>
  <c r="W219" i="19"/>
  <c r="H163" i="19"/>
  <c r="I163" i="19"/>
  <c r="W163" i="19"/>
  <c r="W149" i="19"/>
  <c r="W223" i="19"/>
  <c r="V223" i="19"/>
  <c r="V225" i="19"/>
  <c r="V233" i="19"/>
  <c r="V239" i="19"/>
  <c r="H26" i="20"/>
  <c r="H32" i="20"/>
  <c r="H33" i="20"/>
  <c r="I24" i="20"/>
  <c r="I25" i="20"/>
  <c r="G26" i="20"/>
  <c r="G32" i="20"/>
  <c r="J27" i="20"/>
  <c r="J31" i="20"/>
  <c r="K31" i="20"/>
  <c r="J23" i="20"/>
  <c r="K23" i="20"/>
  <c r="J29" i="20"/>
  <c r="K29" i="20"/>
  <c r="J30" i="20"/>
  <c r="K30" i="20"/>
  <c r="K22" i="20"/>
  <c r="F32" i="20"/>
  <c r="M63" i="11"/>
  <c r="R63" i="11"/>
  <c r="M68" i="11"/>
  <c r="M69" i="11"/>
  <c r="O70" i="11"/>
  <c r="P68" i="11"/>
  <c r="P121" i="11"/>
  <c r="N63" i="11"/>
  <c r="O69" i="11"/>
  <c r="U63" i="11"/>
  <c r="L63" i="11"/>
  <c r="L70" i="11"/>
  <c r="Q63" i="11"/>
  <c r="S69" i="11"/>
  <c r="R70" i="11"/>
  <c r="N121" i="11"/>
  <c r="T68" i="11"/>
  <c r="T121" i="11"/>
  <c r="O63" i="11"/>
  <c r="P69" i="11"/>
  <c r="K120" i="11"/>
  <c r="L119" i="11"/>
  <c r="Q70" i="11"/>
  <c r="Q121" i="11"/>
  <c r="V53" i="11"/>
  <c r="V62" i="11"/>
  <c r="V52" i="11"/>
  <c r="U121" i="11"/>
  <c r="U70" i="11"/>
  <c r="M121" i="11"/>
  <c r="M70" i="11"/>
  <c r="B23" i="12"/>
  <c r="D23" i="12"/>
  <c r="D21" i="12"/>
  <c r="B16" i="12"/>
  <c r="B22" i="12"/>
  <c r="D22" i="12"/>
  <c r="N31" i="13"/>
  <c r="N33" i="13"/>
  <c r="B37" i="13"/>
  <c r="F33" i="13"/>
  <c r="N69" i="11"/>
  <c r="R69" i="11"/>
  <c r="I95" i="10"/>
  <c r="F59" i="20"/>
  <c r="F61" i="20"/>
  <c r="F62" i="20"/>
  <c r="F60" i="20"/>
  <c r="E61" i="20"/>
  <c r="F70" i="20"/>
  <c r="D67" i="20"/>
  <c r="H34" i="20"/>
  <c r="W225" i="19"/>
  <c r="W233" i="19"/>
  <c r="W239" i="19"/>
  <c r="G33" i="20"/>
  <c r="G34" i="20"/>
  <c r="F33" i="20"/>
  <c r="F34" i="20"/>
  <c r="I26" i="20"/>
  <c r="I32" i="20"/>
  <c r="J24" i="20"/>
  <c r="J25" i="20"/>
  <c r="K25" i="20"/>
  <c r="J28" i="20"/>
  <c r="K28" i="20"/>
  <c r="K27" i="20"/>
  <c r="Q69" i="11"/>
  <c r="U69" i="11"/>
  <c r="T70" i="11"/>
  <c r="T69" i="11"/>
  <c r="P70" i="11"/>
  <c r="K116" i="11"/>
  <c r="K100" i="11"/>
  <c r="K125" i="11"/>
  <c r="V68" i="11"/>
  <c r="V63" i="11"/>
  <c r="L120" i="11"/>
  <c r="M119" i="11"/>
  <c r="D29" i="12"/>
  <c r="B36" i="13"/>
  <c r="K97" i="10"/>
  <c r="I98" i="10"/>
  <c r="G45" i="20"/>
  <c r="G46" i="20"/>
  <c r="G58" i="20"/>
  <c r="G70" i="20"/>
  <c r="E66" i="20"/>
  <c r="E68" i="20"/>
  <c r="F68" i="20"/>
  <c r="F66" i="20"/>
  <c r="F67" i="20"/>
  <c r="J26" i="20"/>
  <c r="J32" i="20"/>
  <c r="K24" i="20"/>
  <c r="I33" i="20"/>
  <c r="I34" i="20"/>
  <c r="L116" i="11"/>
  <c r="L100" i="11"/>
  <c r="L125" i="11"/>
  <c r="V70" i="11"/>
  <c r="V121" i="11"/>
  <c r="V69" i="11"/>
  <c r="M120" i="11"/>
  <c r="N119" i="11"/>
  <c r="D31" i="12"/>
  <c r="D32" i="12"/>
  <c r="E67" i="20"/>
  <c r="H45" i="20"/>
  <c r="H46" i="20"/>
  <c r="H58" i="20"/>
  <c r="G60" i="20"/>
  <c r="G62" i="20"/>
  <c r="G59" i="20"/>
  <c r="G61" i="20"/>
  <c r="J33" i="20"/>
  <c r="J34" i="20"/>
  <c r="K34" i="20"/>
  <c r="K32" i="20"/>
  <c r="K33" i="20"/>
  <c r="K26" i="20"/>
  <c r="N120" i="11"/>
  <c r="O119" i="11"/>
  <c r="M116" i="11"/>
  <c r="M100" i="11"/>
  <c r="M125" i="11"/>
  <c r="H59" i="20"/>
  <c r="H60" i="20"/>
  <c r="H62" i="20"/>
  <c r="H70" i="20"/>
  <c r="G66" i="20"/>
  <c r="G68" i="20"/>
  <c r="N116" i="11"/>
  <c r="N100" i="11"/>
  <c r="N125" i="11"/>
  <c r="O120" i="11"/>
  <c r="P119" i="11"/>
  <c r="G67" i="20"/>
  <c r="I45" i="20"/>
  <c r="I46" i="20"/>
  <c r="I58" i="20"/>
  <c r="I70" i="20"/>
  <c r="H61" i="20"/>
  <c r="P120" i="11"/>
  <c r="Q119" i="11"/>
  <c r="O116" i="11"/>
  <c r="O100" i="11"/>
  <c r="O125" i="11"/>
  <c r="J45" i="20"/>
  <c r="J46" i="20"/>
  <c r="J58" i="20"/>
  <c r="H66" i="20"/>
  <c r="H67" i="20"/>
  <c r="H68" i="20"/>
  <c r="I62" i="20"/>
  <c r="I59" i="20"/>
  <c r="I60" i="20"/>
  <c r="Q120" i="11"/>
  <c r="R119" i="11"/>
  <c r="P116" i="11"/>
  <c r="P100" i="11"/>
  <c r="P125" i="11"/>
  <c r="I61" i="20"/>
  <c r="J70" i="20"/>
  <c r="K70" i="20"/>
  <c r="J59" i="20"/>
  <c r="J62" i="20"/>
  <c r="K62" i="20"/>
  <c r="J60" i="20"/>
  <c r="K60" i="20"/>
  <c r="K58" i="20"/>
  <c r="R120" i="11"/>
  <c r="S119" i="11"/>
  <c r="R116" i="11"/>
  <c r="R100" i="11"/>
  <c r="R125" i="11"/>
  <c r="Q116" i="11"/>
  <c r="Q100" i="11"/>
  <c r="Q125" i="11"/>
  <c r="J61" i="20"/>
  <c r="K59" i="20"/>
  <c r="I66" i="20"/>
  <c r="I67" i="20"/>
  <c r="I68" i="20"/>
  <c r="S120" i="11"/>
  <c r="T119" i="11"/>
  <c r="J68" i="20"/>
  <c r="K68" i="20"/>
  <c r="J66" i="20"/>
  <c r="K61" i="20"/>
  <c r="T120" i="11"/>
  <c r="U119" i="11"/>
  <c r="S116" i="11"/>
  <c r="S100" i="11"/>
  <c r="S125" i="11"/>
  <c r="J67" i="20"/>
  <c r="K66" i="20"/>
  <c r="K67" i="20"/>
  <c r="T116" i="11"/>
  <c r="T100" i="11"/>
  <c r="T125" i="11"/>
  <c r="U120" i="11"/>
  <c r="V119" i="11"/>
  <c r="U116" i="11"/>
  <c r="U100" i="11"/>
  <c r="U125" i="11"/>
  <c r="V120" i="11"/>
  <c r="V116" i="11"/>
  <c r="V100" i="11"/>
  <c r="V12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Enzo Flosi</author>
  </authors>
  <commentList>
    <comment ref="M250" authorId="0" shapeId="0" xr:uid="{3E41E1C3-AE34-DA4C-A504-27555D6A5CE9}">
      <text>
        <r>
          <rPr>
            <b/>
            <sz val="10"/>
            <color rgb="FF000000"/>
            <rFont val="Tahoma"/>
            <family val="2"/>
          </rPr>
          <t>Enzo Flosi:</t>
        </r>
        <r>
          <rPr>
            <sz val="10"/>
            <color rgb="FF000000"/>
            <rFont val="Tahoma"/>
            <family val="2"/>
          </rPr>
          <t xml:space="preserve">
2026E fecha na mesma data que o 2S26 (dez/26). O balanço é estoque, então a coluna anual repete a do segundo semestre.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Calles Carinhena</author>
  </authors>
  <commentList>
    <comment ref="B6" authorId="0" shapeId="0" xr:uid="{77998579-9110-4EF6-B197-2ECAACDC0F77}">
      <text>
        <r>
          <rPr>
            <sz val="11"/>
            <color theme="1"/>
            <rFont val="Aptos Narrow"/>
            <family val="2"/>
            <scheme val="minor"/>
          </rPr>
          <t>1S 2026 (Modelo!K211) dividido igualmente entre 1T e 2T</t>
        </r>
      </text>
    </comment>
    <comment ref="C6" authorId="0" shapeId="0" xr:uid="{79A5EECB-C266-4B13-95DC-3A8BEB9187F1}">
      <text>
        <r>
          <rPr>
            <sz val="11"/>
            <color theme="1"/>
            <rFont val="Aptos Narrow"/>
            <family val="2"/>
            <scheme val="minor"/>
          </rPr>
          <t>Deduções do 1S 2026 (Modelo!K214) divididas entre 1T e 2T</t>
        </r>
      </text>
    </comment>
    <comment ref="B7" authorId="0" shapeId="0" xr:uid="{A928C52B-2EDC-40E1-801D-02735FD4B58E}">
      <text>
        <r>
          <rPr>
            <sz val="11"/>
            <color theme="1"/>
            <rFont val="Aptos Narrow"/>
            <family val="2"/>
            <scheme val="minor"/>
          </rPr>
          <t>1S 2026 (Modelo!K211) dividido igualmente entre 1T e 2T</t>
        </r>
      </text>
    </comment>
    <comment ref="C7" authorId="0" shapeId="0" xr:uid="{900EB172-3AE6-4280-BB67-9B80FB17E709}">
      <text>
        <r>
          <rPr>
            <sz val="11"/>
            <color theme="1"/>
            <rFont val="Aptos Narrow"/>
            <family val="2"/>
            <scheme val="minor"/>
          </rPr>
          <t>Deduções do 1S 2026 (Modelo!K214) divididas entre 1T e 2T</t>
        </r>
      </text>
    </comment>
    <comment ref="B8" authorId="0" shapeId="0" xr:uid="{5FBC83A8-1C98-4AF5-9C4A-C55DD1D246EE}">
      <text>
        <r>
          <rPr>
            <sz val="11"/>
            <color theme="1"/>
            <rFont val="Aptos Narrow"/>
            <family val="2"/>
            <scheme val="minor"/>
          </rPr>
          <t>2S 2026E (Modelo!L211) dividido igualmente entre 3T e 4T</t>
        </r>
      </text>
    </comment>
    <comment ref="B9" authorId="0" shapeId="0" xr:uid="{07C014E4-0821-43EB-BB55-077384A3B855}">
      <text>
        <r>
          <rPr>
            <sz val="11"/>
            <color theme="1"/>
            <rFont val="Aptos Narrow"/>
            <family val="2"/>
            <scheme val="minor"/>
          </rPr>
          <t>2S 2026E (Modelo!L211) dividido igualmente entre 3T e 4T</t>
        </r>
      </text>
    </comment>
  </commentList>
</comments>
</file>

<file path=xl/sharedStrings.xml><?xml version="1.0" encoding="utf-8"?>
<sst xmlns="http://schemas.openxmlformats.org/spreadsheetml/2006/main" count="774" uniqueCount="463">
  <si>
    <t>Análise Financeira - Lava Rápido Nogueira - IJR</t>
  </si>
  <si>
    <t>Coordenador</t>
  </si>
  <si>
    <t>Nicholas De Tommaso</t>
  </si>
  <si>
    <t>Consultores</t>
  </si>
  <si>
    <t>Enzo Flosi</t>
  </si>
  <si>
    <t>João Nery</t>
  </si>
  <si>
    <t>Joana Gregorin</t>
  </si>
  <si>
    <t>Laura Calles</t>
  </si>
  <si>
    <t>Leonardo Tang</t>
  </si>
  <si>
    <t>Lava Rápido Nogueira - IJR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</si>
  <si>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</si>
  <si>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</si>
  <si>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</si>
  <si>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</si>
  <si>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</si>
  <si>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</si>
  <si>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</si>
  <si>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</si>
  <si>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</si>
  <si>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2036E</t>
  </si>
  <si>
    <t>Inflação</t>
  </si>
  <si>
    <t>IPCA</t>
  </si>
  <si>
    <t>IGP-M</t>
  </si>
  <si>
    <t>Taxa de Juros</t>
  </si>
  <si>
    <t>Selic – final do ano</t>
  </si>
  <si>
    <t>Selic – média do ano</t>
  </si>
  <si>
    <t>CDI - final do ano (anualizado)</t>
  </si>
  <si>
    <t>CDI - acumulado no ano</t>
  </si>
  <si>
    <t>1S 2026</t>
  </si>
  <si>
    <t>DRE</t>
  </si>
  <si>
    <t>(=) Receita Bruta</t>
  </si>
  <si>
    <t>% YoY</t>
  </si>
  <si>
    <t>(-) Deduções</t>
  </si>
  <si>
    <t>(=) Receita Líquida</t>
  </si>
  <si>
    <t>(-) Custo dos Serviços Prestados</t>
  </si>
  <si>
    <t>Salários, Ordenados, 13o Salário e Férias</t>
  </si>
  <si>
    <t>FGTS</t>
  </si>
  <si>
    <t>Vale Transporte</t>
  </si>
  <si>
    <t>Serviços de Terceiros: Lavadores PJ</t>
  </si>
  <si>
    <t>Mão de Obra Avulsa e Diaristas</t>
  </si>
  <si>
    <t>Materiais de Consumo (shampoo, cera, pretinho, aromatizante)</t>
  </si>
  <si>
    <t>Água e Esgoto</t>
  </si>
  <si>
    <t>Energia Elétrica</t>
  </si>
  <si>
    <t>Uniformes e EPI</t>
  </si>
  <si>
    <t>Manutenção de Máquinas e Equipamentos</t>
  </si>
  <si>
    <t>(=) Lucro Bruto</t>
  </si>
  <si>
    <t>% Margem Bruta</t>
  </si>
  <si>
    <t>(-) Despesas Operacionais</t>
  </si>
  <si>
    <t>Aluguéis</t>
  </si>
  <si>
    <t>IPTU, Taxas e Alvará de Funcionamento</t>
  </si>
  <si>
    <t>Assessoria Contábil</t>
  </si>
  <si>
    <t>Telefones e Internet</t>
  </si>
  <si>
    <t>Software e Licenças de Uso</t>
  </si>
  <si>
    <t>Material de Expediente e Limpeza</t>
  </si>
  <si>
    <t>Seguros</t>
  </si>
  <si>
    <t>Propaganda e Publicidade</t>
  </si>
  <si>
    <t>Pró-labore</t>
  </si>
  <si>
    <t>Outras Despesas Operacionais</t>
  </si>
  <si>
    <t>(=) EBITDA</t>
  </si>
  <si>
    <t>% Margem EBITDA</t>
  </si>
  <si>
    <t>(-) Depreciação</t>
  </si>
  <si>
    <t>(=) EBIT</t>
  </si>
  <si>
    <t>% Margem EBIT</t>
  </si>
  <si>
    <t>(-) Despesa Financeira</t>
  </si>
  <si>
    <t>Taxas de Administração de Cartões e Pix</t>
  </si>
  <si>
    <t>Despesas Bancárias</t>
  </si>
  <si>
    <t>(+) Receita Financeira</t>
  </si>
  <si>
    <t>Rendimentos de Aplicações Financeiras</t>
  </si>
  <si>
    <t>(=) LAIR</t>
  </si>
  <si>
    <t>(-) Imposto de Renda</t>
  </si>
  <si>
    <t>% Alíquota</t>
  </si>
  <si>
    <t>(=) Lucro Líquido</t>
  </si>
  <si>
    <t>% Margem Líquida</t>
  </si>
  <si>
    <t>Balanço Patrimonial</t>
  </si>
  <si>
    <t>Ativo Total</t>
  </si>
  <si>
    <t>Ativo Circulante</t>
  </si>
  <si>
    <t>Caixa Geral</t>
  </si>
  <si>
    <t>Bancos Conta Movimento</t>
  </si>
  <si>
    <t>Aplicações Financeiras de Liquidez Diária (CDB)</t>
  </si>
  <si>
    <t>Clientes: Faturamento a Prazo (pessoa jurídica)</t>
  </si>
  <si>
    <t>Clientes: Contas em Aberto (fiado)</t>
  </si>
  <si>
    <t>(-) Provisão para Créditos de Liquidação Duvidosa</t>
  </si>
  <si>
    <t>Adiantamentos a Funcionários</t>
  </si>
  <si>
    <t>Impostos e Contribuições a Recuperar</t>
  </si>
  <si>
    <t>Seguros a Apropriar</t>
  </si>
  <si>
    <t>Ativo Não Circulante</t>
  </si>
  <si>
    <t>Benfeitorias em Imóveis de Terceiros</t>
  </si>
  <si>
    <t>Máquinas e Equipamentos</t>
  </si>
  <si>
    <t>Instalações Hidráulicas</t>
  </si>
  <si>
    <t>Móveis e Utensílios</t>
  </si>
  <si>
    <t>Computadores e Periféricos</t>
  </si>
  <si>
    <t>Sistemas de Segurança</t>
  </si>
  <si>
    <t>(-) Depreciações Acumuladas</t>
  </si>
  <si>
    <t>Passivo Total + Patrimonio Líquido</t>
  </si>
  <si>
    <t>Passivo Circulante</t>
  </si>
  <si>
    <t>Fornecedores Nacionais</t>
  </si>
  <si>
    <t>Salários a Pagar</t>
  </si>
  <si>
    <t>Provisão de Férias e Encargos</t>
  </si>
  <si>
    <t>Provisão de 13o Salário</t>
  </si>
  <si>
    <t>FGTS a Recolher</t>
  </si>
  <si>
    <t>Simples Nacional a Recolher</t>
  </si>
  <si>
    <t>Contas a Pagar (aluguel, energia, água, telefone)</t>
  </si>
  <si>
    <t>Passivo Não Circulante</t>
  </si>
  <si>
    <t>Empréstimos e Financiamentos</t>
  </si>
  <si>
    <t xml:space="preserve">Patrimônio Líquido </t>
  </si>
  <si>
    <t>Capital Social Subscrito e Integralizado</t>
  </si>
  <si>
    <t>Lucros ou (Prejuízos) Acumulados de Exerc. Anteriores</t>
  </si>
  <si>
    <t>(-) Distribuição de Lucros / (+) Aportes dos Sócios no Período</t>
  </si>
  <si>
    <t>Resultado Líquido do Período</t>
  </si>
  <si>
    <t>check</t>
  </si>
  <si>
    <t>2S 2026E</t>
  </si>
  <si>
    <t>2026E</t>
  </si>
  <si>
    <t>Premissas</t>
  </si>
  <si>
    <t>Build - Up da Receita</t>
  </si>
  <si>
    <t>Preço Lavagem Completa</t>
  </si>
  <si>
    <t>Preço Lavagem Externa</t>
  </si>
  <si>
    <t>Preço Lavagem Completa + Cera</t>
  </si>
  <si>
    <t>Preço Lavagem Completa + Externa + Polimento</t>
  </si>
  <si>
    <t>Taxa de Retenção (2023 - 2025)</t>
  </si>
  <si>
    <t>Taxa de Reativação (2023 - 2025)</t>
  </si>
  <si>
    <t>Taxa de Novos Clientes (2023 - 2025)</t>
  </si>
  <si>
    <t>Maturidade Operacional</t>
  </si>
  <si>
    <t>Fator de Crescimento Remanescente</t>
  </si>
  <si>
    <t>Taxa de Crescimento de Clientes Anual</t>
  </si>
  <si>
    <t>Clientes Retidos</t>
  </si>
  <si>
    <t>Clientes Reativados</t>
  </si>
  <si>
    <t>Quantidade Orgânica de Lavagens</t>
  </si>
  <si>
    <t>Custos dos Serviços Prestados</t>
  </si>
  <si>
    <t>SG&amp;A</t>
  </si>
  <si>
    <t>CAPEX  e Depreciação</t>
  </si>
  <si>
    <t>Captação de Empréstimo</t>
  </si>
  <si>
    <t>Amortização</t>
  </si>
  <si>
    <t>Pagamento Total</t>
  </si>
  <si>
    <t>Saldo da Dívida</t>
  </si>
  <si>
    <t>CDI</t>
  </si>
  <si>
    <t>Spread</t>
  </si>
  <si>
    <t>Kd</t>
  </si>
  <si>
    <t>Tributárias</t>
  </si>
  <si>
    <t>Working Capital</t>
  </si>
  <si>
    <t>Prazo Médio de Recebimento</t>
  </si>
  <si>
    <t xml:space="preserve">Prazo Médio de Pagamento a Fornecedores </t>
  </si>
  <si>
    <t>Prazo Médio de Estocagem</t>
  </si>
  <si>
    <t>DFC</t>
  </si>
  <si>
    <t>Fluxo de Caixa Operacional</t>
  </si>
  <si>
    <t xml:space="preserve">(+) Lucro Líquido </t>
  </si>
  <si>
    <t>(+) Depreciação</t>
  </si>
  <si>
    <t>∆ Working Capital</t>
  </si>
  <si>
    <t>Contas a Receber</t>
  </si>
  <si>
    <t xml:space="preserve">Estoque </t>
  </si>
  <si>
    <t>Fornecedores</t>
  </si>
  <si>
    <t>Fluxo de Caixa de Investimentos</t>
  </si>
  <si>
    <t>CAPEX</t>
  </si>
  <si>
    <t>Reforma de Imobilizado</t>
  </si>
  <si>
    <t>Fluxo de Caixa de Financiamento</t>
  </si>
  <si>
    <t>Empréstimos e Financiamento</t>
  </si>
  <si>
    <t>Variação do Caixa</t>
  </si>
  <si>
    <t xml:space="preserve">Caixa Inicial </t>
  </si>
  <si>
    <t>Caixa Final</t>
  </si>
  <si>
    <t>Perpetuidade</t>
  </si>
  <si>
    <t>WACC</t>
  </si>
  <si>
    <t>Mister Car Wash</t>
  </si>
  <si>
    <t xml:space="preserve">Beta Alavancado </t>
  </si>
  <si>
    <t xml:space="preserve">D/E </t>
  </si>
  <si>
    <t xml:space="preserve">Beta Desalavancado </t>
  </si>
  <si>
    <t>Driven Brands</t>
  </si>
  <si>
    <t>Monro</t>
  </si>
  <si>
    <t>AutoZone</t>
  </si>
  <si>
    <t>O'Reilly Automotive</t>
  </si>
  <si>
    <t>Advance Auto Parts</t>
  </si>
  <si>
    <t>Valvoline</t>
  </si>
  <si>
    <t xml:space="preserve">Projeção Curva de Juros Prefixado 10 anos Anbima </t>
  </si>
  <si>
    <t>FCFF</t>
  </si>
  <si>
    <t>NOPAT</t>
  </si>
  <si>
    <t>(-) CAPEX</t>
  </si>
  <si>
    <t>(-) ∆ CGL</t>
  </si>
  <si>
    <t>(=) Fluxo de Caixa</t>
  </si>
  <si>
    <t>Preencher apenas as células em azul (inputs). As demais são calculadas.</t>
  </si>
  <si>
    <t>1. DADOS PRINCIPAIS</t>
  </si>
  <si>
    <t>Descrição</t>
  </si>
  <si>
    <t>Valor (R$)</t>
  </si>
  <si>
    <t>Observações</t>
  </si>
  <si>
    <t>Receita Bruta</t>
  </si>
  <si>
    <t>(-) Deduções da Receita Bruta</t>
  </si>
  <si>
    <t>Devoluções, descontos, tributos sobre vendas</t>
  </si>
  <si>
    <t>(-) Despesas Dedutíveis</t>
  </si>
  <si>
    <t>Necessárias e usuais à atividade (art. 311 RIR/18)</t>
  </si>
  <si>
    <t>(=) Resultado Contábil (LAIR)</t>
  </si>
  <si>
    <t>(+) Adições — Despesas Indedutíveis</t>
  </si>
  <si>
    <t>Multas, brindes, doações, provisões não dedutíveis</t>
  </si>
  <si>
    <t>(-) Exclusões</t>
  </si>
  <si>
    <t>Receitas não tributáveis, equivalência patrimonial</t>
  </si>
  <si>
    <t>(-) Compensação de Prejuízo Fiscal</t>
  </si>
  <si>
    <t>Limitada a 30% do lucro ajustado</t>
  </si>
  <si>
    <t>(=) BASE DE CÁLCULO — LUCRO REAL</t>
  </si>
  <si>
    <t>Limite Anual (adicional de IRPJ)</t>
  </si>
  <si>
    <t>R$ 20.000/mês × 12 meses</t>
  </si>
  <si>
    <t>Excedente ao Limite Anual</t>
  </si>
  <si>
    <t>2. TRIBUTOS</t>
  </si>
  <si>
    <t>Tributo</t>
  </si>
  <si>
    <t>Base de Cálculo (R$)</t>
  </si>
  <si>
    <t>Alíquota</t>
  </si>
  <si>
    <t>Resultado (R$)</t>
  </si>
  <si>
    <t>IRPJ</t>
  </si>
  <si>
    <t>IRPJ — Adicional</t>
  </si>
  <si>
    <t>CSLL</t>
  </si>
  <si>
    <t>PIS (não cumulativo)</t>
  </si>
  <si>
    <t>COFINS (não cumulativo)</t>
  </si>
  <si>
    <t>IBS (Reforma Tributária)</t>
  </si>
  <si>
    <t>CBS (Reforma Tributária)</t>
  </si>
  <si>
    <t>TOTAL DE TRIBUTOS</t>
  </si>
  <si>
    <t>Carga tributária efetiva / Receita Bruta</t>
  </si>
  <si>
    <t>Lucro Líquido após tributos</t>
  </si>
  <si>
    <t>LUCRO PRESUMIDO — APURAÇÃO TRIMESTRAL 2026</t>
  </si>
  <si>
    <t>Preencher apenas as células em azul (inputs). Verde = link interno. Preto = fórmula.</t>
  </si>
  <si>
    <t>1. DADOS PRINCIPAIS — RECEITA POR TRIMESTRE</t>
  </si>
  <si>
    <t>Trimestre</t>
  </si>
  <si>
    <t>Receita Bruta (R$)</t>
  </si>
  <si>
    <t>(-) Deduções (R$)</t>
  </si>
  <si>
    <t>(=) Receita Líquida (R$)</t>
  </si>
  <si>
    <t>Limite Adicional IRPJ (R$)</t>
  </si>
  <si>
    <t>1º TRIMESTRE</t>
  </si>
  <si>
    <t>R$ 20.000/mês × 3 meses = R$ 60.000 por trimestre</t>
  </si>
  <si>
    <t>2º TRIMESTRE</t>
  </si>
  <si>
    <t>3º TRIMESTRE</t>
  </si>
  <si>
    <t>4º TRIMESTRE</t>
  </si>
  <si>
    <t>TOTAL ANUAL</t>
  </si>
  <si>
    <t>2. ALÍQUOTAS E PERCENTUAIS DE PRESUNÇÃO</t>
  </si>
  <si>
    <t>Parâmetro</t>
  </si>
  <si>
    <t>Presunção IRPJ</t>
  </si>
  <si>
    <t>8% comércio/indústria | 16% transporte | 32% serviços</t>
  </si>
  <si>
    <t>Presunção CSLL</t>
  </si>
  <si>
    <t>12% regra geral | 32% serviços</t>
  </si>
  <si>
    <t>Sobre a base que exceder o limite trimestral</t>
  </si>
  <si>
    <t>PIS (cumulativo)</t>
  </si>
  <si>
    <t>Incide sobre a receita bruta</t>
  </si>
  <si>
    <t>COFINS (cumulativo)</t>
  </si>
  <si>
    <t>ICMS / ISS</t>
  </si>
  <si>
    <t>IBS</t>
  </si>
  <si>
    <t>Reforma tributária — fase de transição</t>
  </si>
  <si>
    <t>CBS</t>
  </si>
  <si>
    <t>3. APURAÇÃO DOS TRIBUTOS — POR TRIMESTRE</t>
  </si>
  <si>
    <t>RECEITA</t>
  </si>
  <si>
    <t>IRPJ BASE</t>
  </si>
  <si>
    <t>IRPJ ADICIONAL</t>
  </si>
  <si>
    <t>IRPJ TOTAL</t>
  </si>
  <si>
    <t>CSLL BASE</t>
  </si>
  <si>
    <t>PIS</t>
  </si>
  <si>
    <t>COFINS</t>
  </si>
  <si>
    <t>TOTAL IMPOSTOS</t>
  </si>
  <si>
    <t>Carga tributária efetiva sobre a Receita Bruta</t>
  </si>
  <si>
    <t>Resultado após tributos (Receita Líquida − Tributos)</t>
  </si>
  <si>
    <t>Carga tributária / Receita Bruta</t>
  </si>
  <si>
    <t>PIS / COFINS</t>
  </si>
  <si>
    <t>Período</t>
  </si>
  <si>
    <t>PROJEÇÃO ANUAL — LUCRO REAL (2027–2028)</t>
  </si>
  <si>
    <t>Empresa de serviços. Apuração anual do Lucro Real. Azul = input | Preto = fórmula. PIS e COFINS extintos desde 2027 — substituídos pela CBS.</t>
  </si>
  <si>
    <t>1. PREMISSAS E BASE DE CÁLCULO</t>
  </si>
  <si>
    <t>Item</t>
  </si>
  <si>
    <t>Input — ou vincule à aba Modelo</t>
  </si>
  <si>
    <t>Devoluções, descontos e cancelamentos</t>
  </si>
  <si>
    <t>Custos e despesas necessários à atividade (art. 311 RIR/18)</t>
  </si>
  <si>
    <t>(+) Adições — despesas indedutíveis</t>
  </si>
  <si>
    <t>Multas, brindes, doações e provisões não dedutíveis</t>
  </si>
  <si>
    <t>Receitas não tributáveis e equivalência patrimonial</t>
  </si>
  <si>
    <t>Limitada a 30% do lucro ajustado do período</t>
  </si>
  <si>
    <t>2. ALÍQUOTAS E PARÂMETROS (SERVIÇOS)</t>
  </si>
  <si>
    <t>Sobre o lucro real — não alterado pela reforma</t>
  </si>
  <si>
    <t>Sobre a base que exceder o limite anual</t>
  </si>
  <si>
    <t>Limite anual do adicional (R$)</t>
  </si>
  <si>
    <t>Sobre o lucro real — não alterada pela reforma</t>
  </si>
  <si>
    <t>ISS</t>
  </si>
  <si>
    <t>Input — entre 2% e 5% conforme o município. Sem alteração até 2028</t>
  </si>
  <si>
    <t>0,05% estadual + 0,05% municipal em 2027 e 2028</t>
  </si>
  <si>
    <t>~10% a 11% — substitui PIS/COFINS, com direito a créditos sobre insumos</t>
  </si>
  <si>
    <t>Extintos</t>
  </si>
  <si>
    <t>Não incidem em 2027 e 2028 — substituídos pela CBS</t>
  </si>
  <si>
    <t>3. APURAÇÃO ANUAL</t>
  </si>
  <si>
    <t>Total 2027–2028</t>
  </si>
  <si>
    <t>Base de cálculo — Lucro Real</t>
  </si>
  <si>
    <t>IRPJ Total</t>
  </si>
  <si>
    <t>Resultado após tributos</t>
  </si>
  <si>
    <t>Empresa de serviços. Apuração do IRPJ/CSLL é sempre trimestral no Lucro Presumido. Azul = input | Preto = fórmula. PIS e COFINS extintos desde 2027.</t>
  </si>
  <si>
    <t>1. PREMISSAS DE RECEITA</t>
  </si>
  <si>
    <t>1T 2027</t>
  </si>
  <si>
    <t>2T 2027</t>
  </si>
  <si>
    <t>3T 2027</t>
  </si>
  <si>
    <t>4T 2027</t>
  </si>
  <si>
    <t>1T 2028</t>
  </si>
  <si>
    <t>2T 2028</t>
  </si>
  <si>
    <t>3T 2028</t>
  </si>
  <si>
    <t>4T 2028</t>
  </si>
  <si>
    <t>Total 2027</t>
  </si>
  <si>
    <t>Total 2028</t>
  </si>
  <si>
    <t>Valor</t>
  </si>
  <si>
    <t>32% — prestação de serviços em geral</t>
  </si>
  <si>
    <t>Não alterado pela reforma</t>
  </si>
  <si>
    <t>Sobre a base que exceder o limite do trimestre</t>
  </si>
  <si>
    <t>Limite trimestral do adicional (R$)</t>
  </si>
  <si>
    <t>R$ 20.000/mês × 3 meses</t>
  </si>
  <si>
    <t>Não alterada pela reforma</t>
  </si>
  <si>
    <t>~10% a 11% — substitui PIS e COFINS a partir de 2027</t>
  </si>
  <si>
    <t>3. APURAÇÃO TRIMESTRAL</t>
  </si>
  <si>
    <t>Base de cálculo IRPJ (presumida)</t>
  </si>
  <si>
    <t>Base de cálculo CSLL (presumida)</t>
  </si>
  <si>
    <t>vb</t>
  </si>
  <si>
    <t>m²</t>
  </si>
  <si>
    <t>m</t>
  </si>
  <si>
    <t>un</t>
  </si>
  <si>
    <t>Repasse - Inflação de Serviços - Inflação</t>
  </si>
  <si>
    <t>Cobertura Metálica</t>
  </si>
  <si>
    <t>Fechamento Lateral</t>
  </si>
  <si>
    <t>Piso Industrial</t>
  </si>
  <si>
    <t>Canaletas de Drenagem</t>
  </si>
  <si>
    <t>Caixa de Decantação</t>
  </si>
  <si>
    <t>Portão</t>
  </si>
  <si>
    <t>Demolição do muro</t>
  </si>
  <si>
    <t>Receita Financeira</t>
  </si>
  <si>
    <t>Ajustes de remarcação</t>
  </si>
  <si>
    <t>Taxa de Crescimento Efetiva de Clientes Anual</t>
  </si>
  <si>
    <t>Vagas</t>
  </si>
  <si>
    <t xml:space="preserve">Qtde </t>
  </si>
  <si>
    <t>CAPEX Total</t>
  </si>
  <si>
    <t>Unidade</t>
  </si>
  <si>
    <t>Lavadora de alta pressão</t>
  </si>
  <si>
    <t>Aspirador Profissonal e Baia</t>
  </si>
  <si>
    <t>Extratora Profissional</t>
  </si>
  <si>
    <t>Kit de Polimento</t>
  </si>
  <si>
    <t>Higienizadora</t>
  </si>
  <si>
    <t>Carretéis e Mangueiras</t>
  </si>
  <si>
    <t>Compressor de ar</t>
  </si>
  <si>
    <t>CAPEX DE REFORMA</t>
  </si>
  <si>
    <t>Adequação de piso</t>
  </si>
  <si>
    <t>Custo Und.</t>
  </si>
  <si>
    <t>CAPEX DE MANUTENÇÃO</t>
  </si>
  <si>
    <t>Taxa</t>
  </si>
  <si>
    <t>Depreciação</t>
  </si>
  <si>
    <t>B2C</t>
  </si>
  <si>
    <t>B2B</t>
  </si>
  <si>
    <t>Frequência Média Inicial (2023 - 2025)</t>
  </si>
  <si>
    <t>Frequência Média Alvo (Madura)</t>
  </si>
  <si>
    <t>Teto de Maturidade (assíntota)</t>
  </si>
  <si>
    <t>Velocidade de Convergência (% do gap fechado por ano)</t>
  </si>
  <si>
    <t>Clientes Novos</t>
  </si>
  <si>
    <t>Base de Clientes Ativos</t>
  </si>
  <si>
    <t>Mix - Retidos (% da base)</t>
  </si>
  <si>
    <t>Mix - Reativados (% da base)</t>
  </si>
  <si>
    <t>Mix - Novos (% da base)</t>
  </si>
  <si>
    <t>Mix Maduro</t>
  </si>
  <si>
    <t>Mix Inicial</t>
  </si>
  <si>
    <t>Retidos</t>
  </si>
  <si>
    <t>Reativados</t>
  </si>
  <si>
    <t>Novos</t>
  </si>
  <si>
    <t>Frequência Média de Lavagens (ajustada pelo mix)</t>
  </si>
  <si>
    <t>Freq. Histórica</t>
  </si>
  <si>
    <t>Viagens de Carro/Dia em São Paulo</t>
  </si>
  <si>
    <t>Carros Circulando/Dia em São Paulo</t>
  </si>
  <si>
    <t>Fator de Conversão (Veículos/Viagens)</t>
  </si>
  <si>
    <t>Veículos/Dia em Moema</t>
  </si>
  <si>
    <t>Viagens de Carro/Dia em Moema</t>
  </si>
  <si>
    <t>Veículos de Aplicativo/Dia em Moema</t>
  </si>
  <si>
    <t>Percentual de Veículos de Aplicativo</t>
  </si>
  <si>
    <t>Veículos de Aplicativo/Dia em São Paulo</t>
  </si>
  <si>
    <t xml:space="preserve">Veículos Alugados em Aplicativo </t>
  </si>
  <si>
    <t xml:space="preserve">Veículos Cadastrados em Aplicativo </t>
  </si>
  <si>
    <t>Percentual de Veículos Alugados</t>
  </si>
  <si>
    <t>Mercado Potencial de Veículos Alugados/Dia</t>
  </si>
  <si>
    <t xml:space="preserve">Frequência Semanal de Lavagem de Veículos </t>
  </si>
  <si>
    <t>Demanda Potencial de Lavagens/Dia</t>
  </si>
  <si>
    <t>Demanda Potencial Adotada de Lavagens/Dia</t>
  </si>
  <si>
    <t>Percentual de Captura de Mercado</t>
  </si>
  <si>
    <t>Demanda B2B Lavagens/Dia</t>
  </si>
  <si>
    <t>Dias de Operação por Ano</t>
  </si>
  <si>
    <t>Ticket Médio B2C</t>
  </si>
  <si>
    <t>Ticket Médio B2B</t>
  </si>
  <si>
    <t xml:space="preserve">Juros </t>
  </si>
  <si>
    <t>Resultado Financeiro</t>
  </si>
  <si>
    <t>Despesa Financeira</t>
  </si>
  <si>
    <t>Quantidade Total de Lavagens Inorgânico</t>
  </si>
  <si>
    <t>Demanda Capturada pelo Chatbot</t>
  </si>
  <si>
    <t>Impacto Chatbot</t>
  </si>
  <si>
    <t>Impacto Google Ads</t>
  </si>
  <si>
    <t>Demanda Capturada Google Ads</t>
  </si>
  <si>
    <t>Impacto Indicação</t>
  </si>
  <si>
    <t>Demanda Capturada pelas Indicações</t>
  </si>
  <si>
    <t>Quantidade Lavagens B2B</t>
  </si>
  <si>
    <t>Quantidade Total de Lavagens Orgânico B2C</t>
  </si>
  <si>
    <t>Frequência Madura Efetiva (implícita)</t>
  </si>
  <si>
    <t>Fator de Período (ano = 1,0)</t>
  </si>
  <si>
    <t>0,9%</t>
  </si>
  <si>
    <t>0,1%</t>
  </si>
  <si>
    <t xml:space="preserve">Média Ponderada dos Betas Desalavancados </t>
  </si>
  <si>
    <t>CGL</t>
  </si>
  <si>
    <t>∆ CGL</t>
  </si>
  <si>
    <t>Estoque (Produtos de Lavagem e Materiais de Consumo)</t>
  </si>
  <si>
    <t>mn</t>
  </si>
  <si>
    <t>Q§12º`|QWEFe231123</t>
  </si>
  <si>
    <t>q</t>
  </si>
  <si>
    <t>qqq</t>
  </si>
  <si>
    <t>D</t>
  </si>
  <si>
    <t xml:space="preserve">E </t>
  </si>
  <si>
    <t>D/D+E</t>
  </si>
  <si>
    <t>E/D+E</t>
  </si>
  <si>
    <t>g</t>
  </si>
  <si>
    <t>Inflação BR</t>
  </si>
  <si>
    <t xml:space="preserve">Inflação EUA </t>
  </si>
  <si>
    <t>Ke (EUA)</t>
  </si>
  <si>
    <t>Ke (BR)</t>
  </si>
  <si>
    <t>Risk Free (BR)</t>
  </si>
  <si>
    <t>Risk Free (EUA)</t>
  </si>
  <si>
    <t xml:space="preserve">Fred 30 Year Treasure Yield </t>
  </si>
  <si>
    <t>PROJEÇÃO TRIBUTÁRIA 2028–2036 — LUCRO PRESUMIDO E LUCRO REAL</t>
  </si>
  <si>
    <t>Empresa de serviços. Azul = input | Preto = fórmula | Verde = link. Estrutura apenas — preencher receitas e despesas. Alíquotas de ISS/IBS seguem a transição da EC 132/2023.</t>
  </si>
  <si>
    <t>1. PREMISSAS E ALÍQUOTAS — LUCRO PRESUMIDO</t>
  </si>
  <si>
    <t>Input — preencher</t>
  </si>
  <si>
    <t>Sobre a base presumida que exceder o limite</t>
  </si>
  <si>
    <t>Redução de 10%/ano entre 2029 e 2032; extinto em 2033</t>
  </si>
  <si>
    <t>Transição: 10/20/30/40% da alíquota cheia (15,60%) em 2029–2032; cheia a partir de 2033</t>
  </si>
  <si>
    <t>Substitui PIS/COFINS; cheia desde 2027. CBS + IBS ≈ 26,5% em regime pleno</t>
  </si>
  <si>
    <t>Extintos desde 2027 — substituídos pela CBS</t>
  </si>
  <si>
    <t>2. APURAÇÃO ANUAL — LUCRO PRESUMIDO</t>
  </si>
  <si>
    <t>Total 2028–2036</t>
  </si>
  <si>
    <t>3. PREMISSAS E ALÍQUOTAS — LUCRO REAL</t>
  </si>
  <si>
    <t>Mesma transição do Lucro Presumido — vinculado à linha 15</t>
  </si>
  <si>
    <t>Mesma transição do Lucro Presumido — vinculado à linha 16</t>
  </si>
  <si>
    <t>Vinculado à linha 17</t>
  </si>
  <si>
    <t>4. APURAÇÃO ANUAL — LUCRO REAL</t>
  </si>
  <si>
    <t xml:space="preserve"> </t>
  </si>
  <si>
    <t>CSP Base (2025)</t>
  </si>
  <si>
    <t>% Representada</t>
  </si>
  <si>
    <t xml:space="preserve">   </t>
  </si>
  <si>
    <t>Receita Bruta Base (2025)</t>
  </si>
  <si>
    <t>Prazo de Amortização (anos)</t>
  </si>
  <si>
    <t>Empréstimos e Financiamentos CP</t>
  </si>
  <si>
    <t>Empréstimos e Financiamentos LP</t>
  </si>
  <si>
    <t>Início da Amortização (ano)</t>
  </si>
  <si>
    <t>diferença</t>
  </si>
  <si>
    <t>Produtos do interior do carro ("Cheirinho")</t>
  </si>
  <si>
    <t>Desenvolvimento Perfume Próprio</t>
  </si>
  <si>
    <t>Caixa e Equivalentes (Caixa, Bancos e Aplicações)</t>
  </si>
  <si>
    <t>Contas a Receber (líquido de PCLD)</t>
  </si>
  <si>
    <t>Impostos a Recuperar, Adiantamentos e Seguros</t>
  </si>
  <si>
    <t>Móveis, Utensílios, Computadores e Segurança</t>
  </si>
  <si>
    <t>Salários, Provisões e Encargos a Pagar</t>
  </si>
  <si>
    <t>Contas a Pagar e Impostos a Recolher</t>
  </si>
  <si>
    <t>% Deduções / Rec. Bruta</t>
  </si>
  <si>
    <t>Manutenção de Imobilizado</t>
  </si>
  <si>
    <t>ERP (EUA)</t>
  </si>
  <si>
    <t>CRP (BR)</t>
  </si>
  <si>
    <t>Beta Alavancado</t>
  </si>
  <si>
    <t xml:space="preserve">Imposto de Renda dos EUA </t>
  </si>
  <si>
    <t>Saldo de Prejuízo Fiscal Acumulado (fim do período)</t>
  </si>
  <si>
    <t>Diferencial de Inflação</t>
  </si>
  <si>
    <t>Prêmios</t>
  </si>
  <si>
    <t>Kroll Recommended US Equity Premium</t>
  </si>
  <si>
    <t>Market Risk Premium Médio</t>
  </si>
  <si>
    <t>Imposto de Renda do Brasil</t>
  </si>
  <si>
    <t>Valor Presente do FCFF</t>
  </si>
  <si>
    <t>Período de Desconto</t>
  </si>
  <si>
    <t>Enterprise Value</t>
  </si>
  <si>
    <t>(+) Caixa</t>
  </si>
  <si>
    <t>(-) Dívida Bruta</t>
  </si>
  <si>
    <t>(=) Equity Value Justo</t>
  </si>
  <si>
    <t>Sensibilidade g x 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</si>
</sst>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%"/>
    <numFmt numFmtId="165" formatCode="0.000"/>
    <numFmt numFmtId="166" formatCode="#,##0;\(#,##0\);\-"/>
    <numFmt numFmtId="167" formatCode="#,##0.00;\(#,##0.00\);\-"/>
    <numFmt numFmtId="168" formatCode="&quot;R$&quot;#,##0.00;\(&quot;R$&quot;#,##0.00\);\-"/>
    <numFmt numFmtId="169" formatCode="&quot;R$&quot;#,##0;\(&quot;R$&quot;#,##0\);\-"/>
    <numFmt numFmtId="170" formatCode="#,##0.0;\(#,##0.0\);\-"/>
    <numFmt numFmtId="171" formatCode="&quot;R$ &quot;#,##0;&quot;(R$ &quot;#,##0\);\-"/>
    <numFmt numFmtId="172" formatCode="&quot;CAPEX Ano&quot;\ General"/>
    <numFmt numFmtId="173" formatCode="#,##0.00;\(#,##0.00\);&quot;&quot;;@"/>
    <numFmt numFmtId="174" formatCode="#,##0;\(#,##0\);&quot;&quot;;@"/>
    <numFmt numFmtId="175" formatCode="0.0&quot; lav/ano&quot;"/>
    <numFmt numFmtId="176" formatCode="#,##0.0;\(#,##0.0\);&quot;&quot;;@"/>
    <numFmt numFmtId="177" formatCode="&quot;R$&quot;\ #,##0.00"/>
    <numFmt numFmtId="178" formatCode="[$R$-416]\ #,##0.00"/>
    <numFmt numFmtId="179" formatCode="&quot;R$&quot;#,##0.00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  <font>
      <b/>
      <sz val="11"/>
      <name val="Calibri"/>
      <family val="2"/>
    </font>
    <font>
      <i/>
      <sz val="11"/>
      <color theme="0" tint="-0.34998626667073579"/>
      <name val="Calibri"/>
      <family val="2"/>
    </font>
    <font>
      <b/>
      <sz val="22"/>
      <color theme="1"/>
      <name val="Calibri"/>
      <family val="2"/>
    </font>
    <font>
      <b/>
      <sz val="16"/>
      <color rgb="FFC00000"/>
      <name val="Calibri"/>
      <family val="2"/>
    </font>
    <font>
      <b/>
      <sz val="14"/>
      <color theme="1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11"/>
      <color rgb="FFC00000"/>
      <name val="Calibri"/>
      <family val="2"/>
    </font>
    <font>
      <sz val="11"/>
      <color rgb="FFC00000"/>
      <name val="Calibri"/>
      <family val="2"/>
    </font>
    <font>
      <sz val="11"/>
      <color theme="3"/>
      <name val="Calibri"/>
      <family val="2"/>
    </font>
    <font>
      <b/>
      <sz val="11"/>
      <color theme="3"/>
      <name val="Calibri"/>
      <family val="2"/>
    </font>
    <font>
      <sz val="11"/>
      <color rgb="FF000000"/>
      <name val="Calibri"/>
      <family val="2"/>
    </font>
    <font>
      <sz val="11"/>
      <color theme="1" tint="4.9989318521683403E-2"/>
      <name val="Calibri"/>
      <family val="2"/>
    </font>
    <font>
      <b/>
      <sz val="11"/>
      <color theme="1" tint="4.9989318521683403E-2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i/>
      <sz val="11"/>
      <color rgb="FF555555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i/>
      <sz val="11"/>
      <color theme="1"/>
      <name val="Calibri"/>
      <family val="2"/>
    </font>
    <font>
      <sz val="11"/>
      <color theme="5"/>
      <name val="Calibri"/>
      <family val="2"/>
    </font>
    <font>
      <sz val="11"/>
      <color rgb="FF008000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288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5" fillId="2" borderId="0" xfId="0" applyFont="1" applyFill="1"/>
    <xf numFmtId="0" fontId="3" fillId="2" borderId="0" xfId="3" applyFont="1" applyFill="1" applyAlignment="1">
      <alignment vertical="center"/>
    </xf>
    <xf numFmtId="164" fontId="3" fillId="2" borderId="0" xfId="2" applyNumberFormat="1" applyFont="1" applyFill="1" applyAlignment="1">
      <alignment horizontal="right" vertical="center" wrapText="1"/>
    </xf>
    <xf numFmtId="10" fontId="3" fillId="2" borderId="0" xfId="1" applyNumberFormat="1" applyFont="1" applyFill="1" applyBorder="1" applyAlignment="1">
      <alignment horizontal="right" vertical="center" wrapText="1"/>
    </xf>
    <xf numFmtId="10" fontId="3" fillId="2" borderId="0" xfId="4" applyNumberFormat="1" applyFont="1" applyFill="1" applyAlignment="1">
      <alignment horizontal="right" vertical="center" wrapText="1"/>
    </xf>
    <xf numFmtId="0" fontId="5" fillId="2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3" borderId="0" xfId="0" applyFont="1" applyFill="1"/>
    <xf numFmtId="0" fontId="3" fillId="4" borderId="0" xfId="0" applyFont="1" applyFill="1"/>
    <xf numFmtId="0" fontId="3" fillId="2" borderId="2" xfId="0" applyFont="1" applyFill="1" applyBorder="1"/>
    <xf numFmtId="0" fontId="8" fillId="4" borderId="0" xfId="0" applyFont="1" applyFill="1"/>
    <xf numFmtId="0" fontId="5" fillId="2" borderId="2" xfId="0" applyFont="1" applyFill="1" applyBorder="1"/>
    <xf numFmtId="0" fontId="9" fillId="2" borderId="0" xfId="0" applyFont="1" applyFill="1"/>
    <xf numFmtId="0" fontId="8" fillId="2" borderId="0" xfId="0" applyFont="1" applyFill="1"/>
    <xf numFmtId="0" fontId="10" fillId="2" borderId="1" xfId="0" applyFont="1" applyFill="1" applyBorder="1"/>
    <xf numFmtId="0" fontId="11" fillId="2" borderId="0" xfId="0" applyFont="1" applyFill="1"/>
    <xf numFmtId="0" fontId="6" fillId="2" borderId="0" xfId="0" applyFont="1" applyFill="1"/>
    <xf numFmtId="0" fontId="3" fillId="2" borderId="1" xfId="0" applyFont="1" applyFill="1" applyBorder="1"/>
    <xf numFmtId="0" fontId="10" fillId="2" borderId="3" xfId="0" applyFont="1" applyFill="1" applyBorder="1"/>
    <xf numFmtId="0" fontId="3" fillId="2" borderId="3" xfId="0" applyFont="1" applyFill="1" applyBorder="1"/>
    <xf numFmtId="0" fontId="3" fillId="2" borderId="4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3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0" fontId="3" fillId="2" borderId="6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10" fillId="2" borderId="0" xfId="0" applyFont="1" applyFill="1"/>
    <xf numFmtId="0" fontId="12" fillId="2" borderId="0" xfId="0" applyFont="1" applyFill="1"/>
    <xf numFmtId="0" fontId="7" fillId="2" borderId="0" xfId="0" applyFont="1" applyFill="1"/>
    <xf numFmtId="0" fontId="3" fillId="2" borderId="7" xfId="0" applyFont="1" applyFill="1" applyBorder="1"/>
    <xf numFmtId="10" fontId="3" fillId="2" borderId="0" xfId="0" applyNumberFormat="1" applyFont="1" applyFill="1"/>
    <xf numFmtId="0" fontId="3" fillId="3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0" fontId="3" fillId="2" borderId="6" xfId="0" applyNumberFormat="1" applyFont="1" applyFill="1" applyBorder="1" applyAlignment="1">
      <alignment horizontal="center" vertical="center"/>
    </xf>
    <xf numFmtId="9" fontId="3" fillId="2" borderId="6" xfId="0" applyNumberFormat="1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0" fontId="5" fillId="2" borderId="7" xfId="0" applyFont="1" applyFill="1" applyBorder="1"/>
    <xf numFmtId="164" fontId="3" fillId="2" borderId="0" xfId="0" applyNumberFormat="1" applyFont="1" applyFill="1"/>
    <xf numFmtId="166" fontId="3" fillId="2" borderId="0" xfId="0" applyNumberFormat="1" applyFont="1" applyFill="1"/>
    <xf numFmtId="166" fontId="3" fillId="2" borderId="1" xfId="0" applyNumberFormat="1" applyFont="1" applyFill="1" applyBorder="1"/>
    <xf numFmtId="10" fontId="3" fillId="2" borderId="0" xfId="1" applyNumberFormat="1" applyFont="1" applyFill="1" applyBorder="1"/>
    <xf numFmtId="166" fontId="3" fillId="2" borderId="0" xfId="0" applyNumberFormat="1" applyFont="1" applyFill="1" applyAlignment="1">
      <alignment horizontal="right"/>
    </xf>
    <xf numFmtId="166" fontId="3" fillId="4" borderId="0" xfId="0" applyNumberFormat="1" applyFont="1" applyFill="1"/>
    <xf numFmtId="0" fontId="14" fillId="0" borderId="0" xfId="0" applyFont="1"/>
    <xf numFmtId="0" fontId="15" fillId="0" borderId="0" xfId="0" applyFont="1"/>
    <xf numFmtId="0" fontId="16" fillId="5" borderId="0" xfId="0" applyFont="1" applyFill="1"/>
    <xf numFmtId="0" fontId="0" fillId="5" borderId="0" xfId="0" applyFill="1"/>
    <xf numFmtId="168" fontId="2" fillId="0" borderId="0" xfId="0" applyNumberFormat="1" applyFont="1"/>
    <xf numFmtId="168" fontId="0" fillId="0" borderId="0" xfId="0" applyNumberFormat="1"/>
    <xf numFmtId="164" fontId="0" fillId="0" borderId="0" xfId="0" applyNumberFormat="1"/>
    <xf numFmtId="0" fontId="2" fillId="6" borderId="9" xfId="0" applyFont="1" applyFill="1" applyBorder="1"/>
    <xf numFmtId="0" fontId="2" fillId="6" borderId="9" xfId="0" applyFont="1" applyFill="1" applyBorder="1" applyAlignment="1">
      <alignment horizontal="center"/>
    </xf>
    <xf numFmtId="0" fontId="0" fillId="0" borderId="9" xfId="0" applyBorder="1"/>
    <xf numFmtId="168" fontId="17" fillId="0" borderId="9" xfId="0" applyNumberFormat="1" applyFont="1" applyBorder="1"/>
    <xf numFmtId="0" fontId="2" fillId="0" borderId="9" xfId="0" applyFont="1" applyBorder="1"/>
    <xf numFmtId="168" fontId="2" fillId="0" borderId="9" xfId="0" applyNumberFormat="1" applyFont="1" applyBorder="1"/>
    <xf numFmtId="0" fontId="2" fillId="7" borderId="9" xfId="0" applyFont="1" applyFill="1" applyBorder="1"/>
    <xf numFmtId="168" fontId="2" fillId="7" borderId="9" xfId="0" applyNumberFormat="1" applyFont="1" applyFill="1" applyBorder="1"/>
    <xf numFmtId="168" fontId="18" fillId="0" borderId="9" xfId="0" applyNumberFormat="1" applyFont="1" applyBorder="1"/>
    <xf numFmtId="164" fontId="17" fillId="0" borderId="9" xfId="0" applyNumberFormat="1" applyFont="1" applyBorder="1"/>
    <xf numFmtId="168" fontId="0" fillId="0" borderId="9" xfId="0" applyNumberFormat="1" applyBorder="1"/>
    <xf numFmtId="10" fontId="17" fillId="0" borderId="9" xfId="0" applyNumberFormat="1" applyFont="1" applyBorder="1"/>
    <xf numFmtId="10" fontId="2" fillId="0" borderId="0" xfId="0" applyNumberFormat="1" applyFont="1"/>
    <xf numFmtId="168" fontId="19" fillId="7" borderId="9" xfId="0" applyNumberFormat="1" applyFont="1" applyFill="1" applyBorder="1"/>
    <xf numFmtId="0" fontId="2" fillId="6" borderId="9" xfId="0" applyFont="1" applyFill="1" applyBorder="1" applyAlignment="1">
      <alignment wrapText="1"/>
    </xf>
    <xf numFmtId="0" fontId="2" fillId="6" borderId="9" xfId="0" applyFont="1" applyFill="1" applyBorder="1" applyAlignment="1">
      <alignment horizontal="center" wrapText="1"/>
    </xf>
    <xf numFmtId="0" fontId="2" fillId="7" borderId="9" xfId="0" applyFont="1" applyFill="1" applyBorder="1" applyAlignment="1">
      <alignment horizontal="center" wrapText="1"/>
    </xf>
    <xf numFmtId="164" fontId="2" fillId="0" borderId="9" xfId="0" applyNumberFormat="1" applyFont="1" applyBorder="1"/>
    <xf numFmtId="0" fontId="0" fillId="0" borderId="9" xfId="0" applyBorder="1" applyAlignment="1">
      <alignment wrapText="1"/>
    </xf>
    <xf numFmtId="0" fontId="20" fillId="0" borderId="9" xfId="0" applyFont="1" applyBorder="1" applyAlignment="1">
      <alignment horizontal="center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169" fontId="17" fillId="0" borderId="9" xfId="0" applyNumberFormat="1" applyFont="1" applyBorder="1"/>
    <xf numFmtId="169" fontId="2" fillId="0" borderId="9" xfId="0" applyNumberFormat="1" applyFont="1" applyBorder="1"/>
    <xf numFmtId="169" fontId="18" fillId="0" borderId="9" xfId="0" applyNumberFormat="1" applyFont="1" applyBorder="1"/>
    <xf numFmtId="169" fontId="0" fillId="0" borderId="9" xfId="0" applyNumberFormat="1" applyBorder="1"/>
    <xf numFmtId="169" fontId="2" fillId="7" borderId="9" xfId="0" applyNumberFormat="1" applyFont="1" applyFill="1" applyBorder="1"/>
    <xf numFmtId="9" fontId="3" fillId="2" borderId="0" xfId="1" applyFont="1" applyFill="1"/>
    <xf numFmtId="0" fontId="2" fillId="7" borderId="9" xfId="0" applyFont="1" applyFill="1" applyBorder="1" applyAlignment="1">
      <alignment horizontal="center"/>
    </xf>
    <xf numFmtId="169" fontId="0" fillId="7" borderId="9" xfId="0" applyNumberFormat="1" applyFill="1" applyBorder="1"/>
    <xf numFmtId="164" fontId="17" fillId="0" borderId="9" xfId="0" applyNumberFormat="1" applyFont="1" applyBorder="1" applyAlignment="1">
      <alignment horizontal="center"/>
    </xf>
    <xf numFmtId="169" fontId="17" fillId="0" borderId="9" xfId="0" applyNumberFormat="1" applyFont="1" applyBorder="1" applyAlignment="1">
      <alignment horizontal="center"/>
    </xf>
    <xf numFmtId="10" fontId="17" fillId="0" borderId="9" xfId="0" applyNumberFormat="1" applyFont="1" applyBorder="1" applyAlignment="1">
      <alignment horizontal="center"/>
    </xf>
    <xf numFmtId="164" fontId="2" fillId="7" borderId="9" xfId="0" applyNumberFormat="1" applyFont="1" applyFill="1" applyBorder="1"/>
    <xf numFmtId="14" fontId="3" fillId="2" borderId="4" xfId="0" applyNumberFormat="1" applyFont="1" applyFill="1" applyBorder="1"/>
    <xf numFmtId="166" fontId="5" fillId="2" borderId="1" xfId="0" applyNumberFormat="1" applyFont="1" applyFill="1" applyBorder="1"/>
    <xf numFmtId="10" fontId="11" fillId="2" borderId="0" xfId="1" applyNumberFormat="1" applyFont="1" applyFill="1" applyBorder="1"/>
    <xf numFmtId="166" fontId="5" fillId="2" borderId="0" xfId="0" applyNumberFormat="1" applyFont="1" applyFill="1"/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indent="1"/>
    </xf>
    <xf numFmtId="0" fontId="10" fillId="2" borderId="1" xfId="0" applyFont="1" applyFill="1" applyBorder="1" applyAlignment="1">
      <alignment horizontal="left"/>
    </xf>
    <xf numFmtId="166" fontId="11" fillId="2" borderId="0" xfId="0" applyNumberFormat="1" applyFont="1" applyFill="1"/>
    <xf numFmtId="0" fontId="13" fillId="2" borderId="0" xfId="0" applyFont="1" applyFill="1"/>
    <xf numFmtId="0" fontId="6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5" fillId="2" borderId="3" xfId="0" applyFont="1" applyFill="1" applyBorder="1"/>
    <xf numFmtId="166" fontId="5" fillId="2" borderId="3" xfId="0" applyNumberFormat="1" applyFont="1" applyFill="1" applyBorder="1"/>
    <xf numFmtId="9" fontId="3" fillId="2" borderId="6" xfId="0" applyNumberFormat="1" applyFont="1" applyFill="1" applyBorder="1" applyAlignment="1">
      <alignment horizontal="center" vertical="center"/>
    </xf>
    <xf numFmtId="0" fontId="3" fillId="2" borderId="10" xfId="0" applyFont="1" applyFill="1" applyBorder="1"/>
    <xf numFmtId="0" fontId="3" fillId="2" borderId="14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5" fillId="2" borderId="11" xfId="0" applyFont="1" applyFill="1" applyBorder="1"/>
    <xf numFmtId="0" fontId="5" fillId="2" borderId="12" xfId="0" applyFont="1" applyFill="1" applyBorder="1"/>
    <xf numFmtId="10" fontId="11" fillId="2" borderId="0" xfId="1" applyNumberFormat="1" applyFont="1" applyFill="1"/>
    <xf numFmtId="10" fontId="3" fillId="2" borderId="0" xfId="1" applyNumberFormat="1" applyFont="1" applyFill="1"/>
    <xf numFmtId="0" fontId="21" fillId="2" borderId="0" xfId="0" applyFont="1" applyFill="1"/>
    <xf numFmtId="0" fontId="21" fillId="2" borderId="0" xfId="0" applyFont="1" applyFill="1" applyAlignment="1">
      <alignment horizontal="right"/>
    </xf>
    <xf numFmtId="170" fontId="3" fillId="2" borderId="0" xfId="1" applyNumberFormat="1" applyFont="1" applyFill="1"/>
    <xf numFmtId="9" fontId="3" fillId="2" borderId="0" xfId="0" applyNumberFormat="1" applyFont="1" applyFill="1"/>
    <xf numFmtId="166" fontId="10" fillId="2" borderId="1" xfId="0" applyNumberFormat="1" applyFont="1" applyFill="1" applyBorder="1" applyAlignment="1">
      <alignment horizontal="left" vertical="center"/>
    </xf>
    <xf numFmtId="166" fontId="5" fillId="2" borderId="1" xfId="0" applyNumberFormat="1" applyFont="1" applyFill="1" applyBorder="1" applyAlignment="1">
      <alignment horizontal="left" vertical="center"/>
    </xf>
    <xf numFmtId="3" fontId="3" fillId="2" borderId="0" xfId="0" applyNumberFormat="1" applyFont="1" applyFill="1"/>
    <xf numFmtId="166" fontId="3" fillId="2" borderId="6" xfId="0" applyNumberFormat="1" applyFont="1" applyFill="1" applyBorder="1" applyAlignment="1">
      <alignment horizontal="center" vertical="center"/>
    </xf>
    <xf numFmtId="166" fontId="22" fillId="2" borderId="0" xfId="0" applyNumberFormat="1" applyFont="1" applyFill="1"/>
    <xf numFmtId="0" fontId="7" fillId="4" borderId="0" xfId="0" applyFont="1" applyFill="1"/>
    <xf numFmtId="0" fontId="7" fillId="4" borderId="6" xfId="0" applyFont="1" applyFill="1" applyBorder="1" applyAlignment="1">
      <alignment horizontal="center" vertical="center"/>
    </xf>
    <xf numFmtId="166" fontId="7" fillId="4" borderId="0" xfId="0" applyNumberFormat="1" applyFont="1" applyFill="1"/>
    <xf numFmtId="0" fontId="23" fillId="0" borderId="0" xfId="0" applyFont="1"/>
    <xf numFmtId="0" fontId="24" fillId="0" borderId="0" xfId="0" applyFont="1"/>
    <xf numFmtId="166" fontId="23" fillId="0" borderId="0" xfId="0" applyNumberFormat="1" applyFont="1"/>
    <xf numFmtId="0" fontId="25" fillId="0" borderId="0" xfId="0" applyFont="1"/>
    <xf numFmtId="0" fontId="23" fillId="0" borderId="6" xfId="0" applyFont="1" applyBorder="1" applyAlignment="1">
      <alignment horizontal="center" vertical="center"/>
    </xf>
    <xf numFmtId="173" fontId="3" fillId="0" borderId="0" xfId="0" applyNumberFormat="1" applyFont="1" applyAlignment="1">
      <alignment horizontal="left"/>
    </xf>
    <xf numFmtId="170" fontId="3" fillId="2" borderId="0" xfId="0" applyNumberFormat="1" applyFont="1" applyFill="1"/>
    <xf numFmtId="164" fontId="3" fillId="2" borderId="0" xfId="1" applyNumberFormat="1" applyFont="1" applyFill="1"/>
    <xf numFmtId="3" fontId="3" fillId="2" borderId="0" xfId="1" applyNumberFormat="1" applyFont="1" applyFill="1"/>
    <xf numFmtId="2" fontId="3" fillId="2" borderId="0" xfId="0" applyNumberFormat="1" applyFont="1" applyFill="1"/>
    <xf numFmtId="0" fontId="3" fillId="0" borderId="2" xfId="0" applyFont="1" applyBorder="1"/>
    <xf numFmtId="0" fontId="5" fillId="0" borderId="2" xfId="0" applyFont="1" applyBorder="1"/>
    <xf numFmtId="166" fontId="3" fillId="0" borderId="2" xfId="0" applyNumberFormat="1" applyFont="1" applyBorder="1"/>
    <xf numFmtId="0" fontId="23" fillId="0" borderId="2" xfId="0" applyFont="1" applyBorder="1"/>
    <xf numFmtId="166" fontId="23" fillId="0" borderId="2" xfId="0" applyNumberFormat="1" applyFont="1" applyBorder="1"/>
    <xf numFmtId="0" fontId="3" fillId="0" borderId="0" xfId="0" applyFont="1"/>
    <xf numFmtId="0" fontId="5" fillId="0" borderId="0" xfId="0" applyFont="1"/>
    <xf numFmtId="166" fontId="3" fillId="0" borderId="0" xfId="0" applyNumberFormat="1" applyFont="1"/>
    <xf numFmtId="164" fontId="26" fillId="2" borderId="6" xfId="0" applyNumberFormat="1" applyFont="1" applyFill="1" applyBorder="1" applyAlignment="1">
      <alignment horizontal="center" vertical="center"/>
    </xf>
    <xf numFmtId="10" fontId="26" fillId="2" borderId="6" xfId="0" applyNumberFormat="1" applyFont="1" applyFill="1" applyBorder="1" applyAlignment="1">
      <alignment horizontal="center" vertical="center"/>
    </xf>
    <xf numFmtId="2" fontId="26" fillId="2" borderId="6" xfId="0" applyNumberFormat="1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3" fontId="26" fillId="2" borderId="0" xfId="1" applyNumberFormat="1" applyFont="1" applyFill="1"/>
    <xf numFmtId="3" fontId="26" fillId="2" borderId="0" xfId="0" applyNumberFormat="1" applyFont="1" applyFill="1"/>
    <xf numFmtId="166" fontId="26" fillId="2" borderId="0" xfId="0" applyNumberFormat="1" applyFont="1" applyFill="1"/>
    <xf numFmtId="2" fontId="26" fillId="2" borderId="0" xfId="0" applyNumberFormat="1" applyFont="1" applyFill="1"/>
    <xf numFmtId="0" fontId="5" fillId="2" borderId="7" xfId="0" applyFont="1" applyFill="1" applyBorder="1" applyAlignment="1">
      <alignment horizontal="center" vertical="center"/>
    </xf>
    <xf numFmtId="164" fontId="26" fillId="2" borderId="0" xfId="0" applyNumberFormat="1" applyFont="1" applyFill="1"/>
    <xf numFmtId="170" fontId="3" fillId="2" borderId="6" xfId="0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  <xf numFmtId="166" fontId="5" fillId="2" borderId="7" xfId="0" applyNumberFormat="1" applyFont="1" applyFill="1" applyBorder="1" applyAlignment="1">
      <alignment horizontal="center" vertical="center"/>
    </xf>
    <xf numFmtId="173" fontId="3" fillId="2" borderId="0" xfId="0" applyNumberFormat="1" applyFont="1" applyFill="1"/>
    <xf numFmtId="173" fontId="3" fillId="2" borderId="1" xfId="0" applyNumberFormat="1" applyFont="1" applyFill="1" applyBorder="1"/>
    <xf numFmtId="173" fontId="3" fillId="2" borderId="1" xfId="1" applyNumberFormat="1" applyFont="1" applyFill="1" applyBorder="1"/>
    <xf numFmtId="170" fontId="5" fillId="2" borderId="1" xfId="0" applyNumberFormat="1" applyFont="1" applyFill="1" applyBorder="1"/>
    <xf numFmtId="4" fontId="5" fillId="2" borderId="1" xfId="0" applyNumberFormat="1" applyFont="1" applyFill="1" applyBorder="1"/>
    <xf numFmtId="0" fontId="5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center"/>
    </xf>
    <xf numFmtId="174" fontId="23" fillId="0" borderId="2" xfId="0" applyNumberFormat="1" applyFont="1" applyBorder="1" applyAlignment="1">
      <alignment horizontal="right" vertical="center" wrapText="1"/>
    </xf>
    <xf numFmtId="174" fontId="25" fillId="0" borderId="0" xfId="0" applyNumberFormat="1" applyFont="1"/>
    <xf numFmtId="167" fontId="5" fillId="2" borderId="1" xfId="0" applyNumberFormat="1" applyFont="1" applyFill="1" applyBorder="1"/>
    <xf numFmtId="0" fontId="27" fillId="2" borderId="1" xfId="0" applyFont="1" applyFill="1" applyBorder="1"/>
    <xf numFmtId="10" fontId="5" fillId="2" borderId="1" xfId="1" applyNumberFormat="1" applyFont="1" applyFill="1" applyBorder="1"/>
    <xf numFmtId="174" fontId="3" fillId="2" borderId="0" xfId="0" applyNumberFormat="1" applyFont="1" applyFill="1"/>
    <xf numFmtId="0" fontId="3" fillId="2" borderId="0" xfId="0" applyFont="1" applyFill="1" applyAlignment="1">
      <alignment horizontal="left"/>
    </xf>
    <xf numFmtId="164" fontId="25" fillId="2" borderId="0" xfId="0" applyNumberFormat="1" applyFont="1" applyFill="1"/>
    <xf numFmtId="166" fontId="29" fillId="2" borderId="1" xfId="0" applyNumberFormat="1" applyFont="1" applyFill="1" applyBorder="1"/>
    <xf numFmtId="173" fontId="3" fillId="0" borderId="0" xfId="0" applyNumberFormat="1" applyFont="1"/>
    <xf numFmtId="173" fontId="3" fillId="0" borderId="6" xfId="0" applyNumberFormat="1" applyFont="1" applyBorder="1" applyAlignment="1">
      <alignment horizontal="center"/>
    </xf>
    <xf numFmtId="0" fontId="7" fillId="3" borderId="0" xfId="0" applyFont="1" applyFill="1"/>
    <xf numFmtId="166" fontId="30" fillId="2" borderId="1" xfId="0" applyNumberFormat="1" applyFont="1" applyFill="1" applyBorder="1"/>
    <xf numFmtId="0" fontId="23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174" fontId="23" fillId="0" borderId="0" xfId="0" applyNumberFormat="1" applyFont="1" applyAlignment="1">
      <alignment horizontal="right" vertical="center" wrapText="1"/>
    </xf>
    <xf numFmtId="0" fontId="6" fillId="0" borderId="0" xfId="0" applyFont="1"/>
    <xf numFmtId="171" fontId="23" fillId="0" borderId="0" xfId="0" applyNumberFormat="1" applyFont="1"/>
    <xf numFmtId="0" fontId="6" fillId="0" borderId="0" xfId="0" applyFont="1" applyAlignment="1">
      <alignment horizontal="center"/>
    </xf>
    <xf numFmtId="3" fontId="23" fillId="0" borderId="6" xfId="0" applyNumberFormat="1" applyFont="1" applyBorder="1" applyAlignment="1">
      <alignment horizontal="center"/>
    </xf>
    <xf numFmtId="0" fontId="6" fillId="0" borderId="0" xfId="0" applyFont="1" applyAlignment="1">
      <alignment vertical="top" wrapText="1"/>
    </xf>
    <xf numFmtId="3" fontId="28" fillId="0" borderId="0" xfId="0" applyNumberFormat="1" applyFont="1"/>
    <xf numFmtId="0" fontId="28" fillId="0" borderId="0" xfId="0" applyFont="1" applyAlignment="1">
      <alignment horizontal="center"/>
    </xf>
    <xf numFmtId="171" fontId="6" fillId="0" borderId="0" xfId="0" applyNumberFormat="1" applyFont="1"/>
    <xf numFmtId="0" fontId="31" fillId="0" borderId="0" xfId="0" applyFont="1" applyAlignment="1">
      <alignment vertical="top" wrapText="1"/>
    </xf>
    <xf numFmtId="171" fontId="28" fillId="0" borderId="0" xfId="0" applyNumberFormat="1" applyFont="1"/>
    <xf numFmtId="0" fontId="6" fillId="0" borderId="6" xfId="0" applyFont="1" applyBorder="1" applyAlignment="1">
      <alignment horizontal="center"/>
    </xf>
    <xf numFmtId="0" fontId="10" fillId="0" borderId="0" xfId="0" applyFont="1"/>
    <xf numFmtId="171" fontId="10" fillId="0" borderId="0" xfId="0" applyNumberFormat="1" applyFont="1"/>
    <xf numFmtId="171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171" fontId="3" fillId="0" borderId="0" xfId="0" applyNumberFormat="1" applyFont="1"/>
    <xf numFmtId="0" fontId="3" fillId="0" borderId="0" xfId="0" applyFont="1" applyAlignment="1">
      <alignment horizontal="center"/>
    </xf>
    <xf numFmtId="3" fontId="3" fillId="0" borderId="6" xfId="0" applyNumberFormat="1" applyFont="1" applyBorder="1" applyAlignment="1">
      <alignment horizontal="center"/>
    </xf>
    <xf numFmtId="9" fontId="23" fillId="0" borderId="6" xfId="1" applyFont="1" applyBorder="1" applyAlignment="1">
      <alignment horizontal="center"/>
    </xf>
    <xf numFmtId="172" fontId="3" fillId="0" borderId="0" xfId="0" applyNumberFormat="1" applyFont="1" applyAlignment="1">
      <alignment horizontal="left"/>
    </xf>
    <xf numFmtId="176" fontId="26" fillId="2" borderId="0" xfId="0" applyNumberFormat="1" applyFont="1" applyFill="1" applyAlignment="1">
      <alignment horizontal="right" vertical="center"/>
    </xf>
    <xf numFmtId="10" fontId="17" fillId="0" borderId="9" xfId="0" applyNumberFormat="1" applyFont="1" applyBorder="1" applyAlignment="1">
      <alignment horizontal="right"/>
    </xf>
    <xf numFmtId="174" fontId="3" fillId="0" borderId="0" xfId="0" applyNumberFormat="1" applyFont="1" applyAlignment="1">
      <alignment horizontal="right" vertical="center"/>
    </xf>
    <xf numFmtId="176" fontId="3" fillId="2" borderId="0" xfId="0" applyNumberFormat="1" applyFont="1" applyFill="1"/>
    <xf numFmtId="176" fontId="3" fillId="2" borderId="6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/>
    </xf>
    <xf numFmtId="0" fontId="22" fillId="2" borderId="0" xfId="0" applyFont="1" applyFill="1"/>
    <xf numFmtId="0" fontId="22" fillId="2" borderId="6" xfId="0" applyFont="1" applyFill="1" applyBorder="1" applyAlignment="1">
      <alignment horizontal="center"/>
    </xf>
    <xf numFmtId="166" fontId="22" fillId="2" borderId="0" xfId="0" applyNumberFormat="1" applyFont="1" applyFill="1" applyAlignment="1">
      <alignment horizontal="right"/>
    </xf>
    <xf numFmtId="175" fontId="25" fillId="2" borderId="6" xfId="0" applyNumberFormat="1" applyFont="1" applyFill="1" applyBorder="1" applyAlignment="1">
      <alignment horizontal="center" vertical="center"/>
    </xf>
    <xf numFmtId="177" fontId="0" fillId="0" borderId="9" xfId="0" applyNumberFormat="1" applyBorder="1"/>
    <xf numFmtId="177" fontId="2" fillId="7" borderId="9" xfId="0" applyNumberFormat="1" applyFont="1" applyFill="1" applyBorder="1"/>
    <xf numFmtId="177" fontId="0" fillId="7" borderId="9" xfId="0" applyNumberFormat="1" applyFill="1" applyBorder="1"/>
    <xf numFmtId="10" fontId="2" fillId="0" borderId="9" xfId="0" applyNumberFormat="1" applyFont="1" applyBorder="1"/>
    <xf numFmtId="10" fontId="2" fillId="7" borderId="9" xfId="0" applyNumberFormat="1" applyFont="1" applyFill="1" applyBorder="1"/>
    <xf numFmtId="173" fontId="3" fillId="2" borderId="0" xfId="0" applyNumberFormat="1" applyFont="1" applyFill="1" applyAlignment="1">
      <alignment horizontal="right"/>
    </xf>
    <xf numFmtId="0" fontId="3" fillId="2" borderId="16" xfId="0" applyFont="1" applyFill="1" applyBorder="1" applyAlignment="1">
      <alignment horizontal="right"/>
    </xf>
    <xf numFmtId="0" fontId="2" fillId="0" borderId="0" xfId="0" applyFont="1"/>
    <xf numFmtId="0" fontId="2" fillId="6" borderId="0" xfId="0" applyFont="1" applyFill="1"/>
    <xf numFmtId="0" fontId="2" fillId="7" borderId="0" xfId="0" applyFont="1" applyFill="1"/>
    <xf numFmtId="10" fontId="0" fillId="0" borderId="0" xfId="0" applyNumberFormat="1"/>
    <xf numFmtId="177" fontId="0" fillId="0" borderId="0" xfId="0" applyNumberFormat="1"/>
    <xf numFmtId="166" fontId="3" fillId="2" borderId="6" xfId="0" applyNumberFormat="1" applyFont="1" applyFill="1" applyBorder="1" applyAlignment="1">
      <alignment horizontal="center"/>
    </xf>
    <xf numFmtId="10" fontId="3" fillId="2" borderId="6" xfId="1" applyNumberFormat="1" applyFont="1" applyFill="1" applyBorder="1" applyAlignment="1">
      <alignment horizontal="center"/>
    </xf>
    <xf numFmtId="167" fontId="3" fillId="2" borderId="0" xfId="0" applyNumberFormat="1" applyFont="1" applyFill="1"/>
    <xf numFmtId="170" fontId="33" fillId="2" borderId="0" xfId="0" applyNumberFormat="1" applyFont="1" applyFill="1"/>
    <xf numFmtId="0" fontId="3" fillId="0" borderId="0" xfId="0" applyFont="1" applyFill="1"/>
    <xf numFmtId="0" fontId="3" fillId="0" borderId="6" xfId="0" applyFont="1" applyFill="1" applyBorder="1" applyAlignment="1">
      <alignment horizontal="center" vertical="center"/>
    </xf>
    <xf numFmtId="166" fontId="3" fillId="0" borderId="0" xfId="0" applyNumberFormat="1" applyFont="1" applyFill="1"/>
    <xf numFmtId="1" fontId="28" fillId="2" borderId="6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right" vertical="center"/>
    </xf>
    <xf numFmtId="0" fontId="35" fillId="2" borderId="0" xfId="0" applyFont="1" applyFill="1"/>
    <xf numFmtId="166" fontId="36" fillId="2" borderId="0" xfId="0" applyNumberFormat="1" applyFont="1" applyFill="1"/>
    <xf numFmtId="166" fontId="28" fillId="2" borderId="0" xfId="0" applyNumberFormat="1" applyFont="1" applyFill="1"/>
    <xf numFmtId="170" fontId="11" fillId="2" borderId="0" xfId="0" applyNumberFormat="1" applyFont="1" applyFill="1"/>
    <xf numFmtId="178" fontId="0" fillId="0" borderId="0" xfId="0" applyNumberFormat="1"/>
    <xf numFmtId="177" fontId="17" fillId="0" borderId="0" xfId="0" applyNumberFormat="1" applyFont="1"/>
    <xf numFmtId="179" fontId="0" fillId="0" borderId="0" xfId="0" applyNumberFormat="1"/>
    <xf numFmtId="177" fontId="32" fillId="0" borderId="0" xfId="0" applyNumberFormat="1" applyFont="1"/>
    <xf numFmtId="2" fontId="3" fillId="2" borderId="6" xfId="0" applyNumberFormat="1" applyFont="1" applyFill="1" applyBorder="1" applyAlignment="1">
      <alignment horizontal="center"/>
    </xf>
    <xf numFmtId="165" fontId="3" fillId="2" borderId="6" xfId="1" applyNumberFormat="1" applyFont="1" applyFill="1" applyBorder="1" applyAlignment="1">
      <alignment horizontal="center"/>
    </xf>
    <xf numFmtId="176" fontId="5" fillId="2" borderId="1" xfId="0" applyNumberFormat="1" applyFont="1" applyFill="1" applyBorder="1"/>
    <xf numFmtId="0" fontId="5" fillId="2" borderId="15" xfId="0" applyFont="1" applyFill="1" applyBorder="1" applyAlignment="1">
      <alignment horizontal="center"/>
    </xf>
    <xf numFmtId="0" fontId="5" fillId="2" borderId="0" xfId="0" applyFont="1" applyFill="1" applyBorder="1"/>
    <xf numFmtId="0" fontId="5" fillId="2" borderId="6" xfId="0" applyFont="1" applyFill="1" applyBorder="1"/>
    <xf numFmtId="176" fontId="5" fillId="2" borderId="0" xfId="0" applyNumberFormat="1" applyFont="1" applyFill="1" applyBorder="1"/>
    <xf numFmtId="0" fontId="3" fillId="2" borderId="0" xfId="0" applyFont="1" applyFill="1" applyBorder="1"/>
    <xf numFmtId="174" fontId="3" fillId="2" borderId="0" xfId="0" applyNumberFormat="1" applyFont="1" applyFill="1" applyBorder="1"/>
    <xf numFmtId="174" fontId="5" fillId="2" borderId="2" xfId="0" applyNumberFormat="1" applyFont="1" applyFill="1" applyBorder="1"/>
    <xf numFmtId="0" fontId="5" fillId="2" borderId="17" xfId="0" applyFont="1" applyFill="1" applyBorder="1"/>
    <xf numFmtId="0" fontId="5" fillId="2" borderId="18" xfId="0" applyFont="1" applyFill="1" applyBorder="1"/>
    <xf numFmtId="174" fontId="5" fillId="2" borderId="19" xfId="0" applyNumberFormat="1" applyFont="1" applyFill="1" applyBorder="1" applyAlignment="1">
      <alignment horizontal="center"/>
    </xf>
    <xf numFmtId="0" fontId="3" fillId="2" borderId="20" xfId="0" applyFont="1" applyFill="1" applyBorder="1"/>
    <xf numFmtId="0" fontId="3" fillId="2" borderId="22" xfId="0" applyFont="1" applyFill="1" applyBorder="1"/>
    <xf numFmtId="0" fontId="3" fillId="2" borderId="23" xfId="0" applyFont="1" applyFill="1" applyBorder="1"/>
    <xf numFmtId="166" fontId="3" fillId="2" borderId="21" xfId="0" applyNumberFormat="1" applyFont="1" applyFill="1" applyBorder="1" applyAlignment="1">
      <alignment horizontal="center"/>
    </xf>
    <xf numFmtId="173" fontId="3" fillId="2" borderId="21" xfId="0" applyNumberFormat="1" applyFont="1" applyFill="1" applyBorder="1" applyAlignment="1">
      <alignment horizontal="center"/>
    </xf>
    <xf numFmtId="4" fontId="3" fillId="2" borderId="24" xfId="0" applyNumberFormat="1" applyFont="1" applyFill="1" applyBorder="1" applyAlignment="1">
      <alignment horizontal="center"/>
    </xf>
    <xf numFmtId="0" fontId="5" fillId="2" borderId="4" xfId="0" applyFont="1" applyFill="1" applyBorder="1"/>
    <xf numFmtId="10" fontId="5" fillId="2" borderId="5" xfId="1" applyNumberFormat="1" applyFont="1" applyFill="1" applyBorder="1" applyAlignment="1">
      <alignment horizontal="center"/>
    </xf>
    <xf numFmtId="0" fontId="3" fillId="2" borderId="17" xfId="0" applyFont="1" applyFill="1" applyBorder="1"/>
    <xf numFmtId="0" fontId="3" fillId="2" borderId="18" xfId="0" applyFont="1" applyFill="1" applyBorder="1"/>
    <xf numFmtId="0" fontId="3" fillId="2" borderId="19" xfId="0" applyFont="1" applyFill="1" applyBorder="1"/>
    <xf numFmtId="0" fontId="3" fillId="2" borderId="21" xfId="0" applyFont="1" applyFill="1" applyBorder="1"/>
    <xf numFmtId="174" fontId="7" fillId="2" borderId="20" xfId="0" applyNumberFormat="1" applyFont="1" applyFill="1" applyBorder="1"/>
    <xf numFmtId="10" fontId="34" fillId="2" borderId="0" xfId="0" applyNumberFormat="1" applyFont="1" applyFill="1" applyBorder="1"/>
    <xf numFmtId="10" fontId="34" fillId="2" borderId="21" xfId="0" applyNumberFormat="1" applyFont="1" applyFill="1" applyBorder="1"/>
    <xf numFmtId="10" fontId="34" fillId="2" borderId="20" xfId="0" applyNumberFormat="1" applyFont="1" applyFill="1" applyBorder="1"/>
    <xf numFmtId="173" fontId="8" fillId="2" borderId="0" xfId="0" applyNumberFormat="1" applyFont="1" applyFill="1" applyBorder="1"/>
    <xf numFmtId="173" fontId="8" fillId="2" borderId="21" xfId="0" applyNumberFormat="1" applyFont="1" applyFill="1" applyBorder="1"/>
    <xf numFmtId="10" fontId="34" fillId="2" borderId="20" xfId="1" applyNumberFormat="1" applyFont="1" applyFill="1" applyBorder="1"/>
    <xf numFmtId="10" fontId="34" fillId="2" borderId="22" xfId="0" applyNumberFormat="1" applyFont="1" applyFill="1" applyBorder="1"/>
    <xf numFmtId="173" fontId="8" fillId="2" borderId="23" xfId="0" applyNumberFormat="1" applyFont="1" applyFill="1" applyBorder="1"/>
    <xf numFmtId="173" fontId="8" fillId="2" borderId="24" xfId="0" applyNumberFormat="1" applyFont="1" applyFill="1" applyBorder="1"/>
  </cellXfs>
  <cellStyles count="5">
    <cellStyle name="Normal" xfId="0" builtinId="0"/>
    <cellStyle name="Normal 14" xfId="2" xr:uid="{F7C38A5B-3507-4811-90A9-F34D99B086C4}"/>
    <cellStyle name="Normal 31" xfId="4" xr:uid="{8D32EF82-7CCB-480B-804E-86C2DDE022F9}"/>
    <cellStyle name="Normal 96" xfId="3" xr:uid="{E54A6242-8AC8-411D-A456-F90DEE2B1310}"/>
    <cellStyle name="Porcentagem" xfId="1" builtinId="5"/>
  </cellStyles>
  <dxfs count="0"/>
  <tableStyles count="0" defaultTableStyle="TableStyleMedium2" defaultPivotStyle="PivotStyleLight16"/>
  <colors>
    <mruColors>
      <color rgb="FF050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293917</xdr:colOff>
      <xdr:row>7</xdr:row>
      <xdr:rowOff>65313</xdr:rowOff>
    </xdr:from>
    <xdr:to>
      <xdr:col>14</xdr:col>
      <xdr:colOff>176083</xdr:colOff>
      <xdr:row>10</xdr:row>
      <xdr:rowOff>4079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9A5BFE8-D680-433A-B6E5-6BC1E22E31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636" b="24310"/>
        <a:stretch>
          <a:fillRect/>
        </a:stretch>
      </xdr:blipFill>
      <xdr:spPr>
        <a:xfrm>
          <a:off x="6945088" y="1360713"/>
          <a:ext cx="1101366" cy="6749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449580</xdr:colOff>
      <xdr:row>2</xdr:row>
      <xdr:rowOff>53341</xdr:rowOff>
    </xdr:from>
    <xdr:to>
      <xdr:col>7</xdr:col>
      <xdr:colOff>563863</xdr:colOff>
      <xdr:row>4</xdr:row>
      <xdr:rowOff>72390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1798320-F7C0-49AC-971B-F95A40666E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636" b="24310"/>
        <a:stretch>
          <a:fillRect/>
        </a:stretch>
      </xdr:blipFill>
      <xdr:spPr>
        <a:xfrm>
          <a:off x="2592705" y="224791"/>
          <a:ext cx="723883" cy="4381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411480</xdr:colOff>
      <xdr:row>2</xdr:row>
      <xdr:rowOff>76201</xdr:rowOff>
    </xdr:from>
    <xdr:to>
      <xdr:col>8</xdr:col>
      <xdr:colOff>525763</xdr:colOff>
      <xdr:row>4</xdr:row>
      <xdr:rowOff>143420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D1C2BA2-833D-49CE-9EFC-91FD92B872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636" b="24310"/>
        <a:stretch>
          <a:fillRect/>
        </a:stretch>
      </xdr:blipFill>
      <xdr:spPr>
        <a:xfrm>
          <a:off x="3528060" y="243841"/>
          <a:ext cx="723883" cy="4386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411480</xdr:colOff>
      <xdr:row>2</xdr:row>
      <xdr:rowOff>76201</xdr:rowOff>
    </xdr:from>
    <xdr:to>
      <xdr:col>8</xdr:col>
      <xdr:colOff>237897</xdr:colOff>
      <xdr:row>4</xdr:row>
      <xdr:rowOff>139338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12FEA8C-84BB-49F4-850F-C9736B4BA2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636" b="24310"/>
        <a:stretch>
          <a:fillRect/>
        </a:stretch>
      </xdr:blipFill>
      <xdr:spPr>
        <a:xfrm>
          <a:off x="4579620" y="228601"/>
          <a:ext cx="695097" cy="4386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487680</xdr:colOff>
      <xdr:row>2</xdr:row>
      <xdr:rowOff>83821</xdr:rowOff>
    </xdr:from>
    <xdr:to>
      <xdr:col>8</xdr:col>
      <xdr:colOff>1888</xdr:colOff>
      <xdr:row>4</xdr:row>
      <xdr:rowOff>104775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BDD5F3D-C428-4FDC-A963-3445CC7968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636" b="24310"/>
        <a:stretch>
          <a:fillRect/>
        </a:stretch>
      </xdr:blipFill>
      <xdr:spPr>
        <a:xfrm>
          <a:off x="2636520" y="251461"/>
          <a:ext cx="723883" cy="441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76" row="4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FE864FF-BF82-460E-BA48-F96464C48D5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9bdd926-febd-44b9-8161-65d70fcedfc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7012FC2E-E3E2-1147-9A1A-230DCBF44D1A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1e0353ef-a2e2-4477-ad95-cf95fb75648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67BA-3E03-4CF1-97AE-739CF4010E8A}">
  <dimension ref="A1:AD39"/>
  <sheetViews>
    <sheetView zoomScale="70" zoomScaleNormal="70" workbookViewId="0">
      <selection activeCell="D3" sqref="D3"/>
    </sheetView>
  </sheetViews>
  <sheetFormatPr defaultColWidth="0" defaultRowHeight="15" zeroHeight="1" x14ac:dyDescent="0.2"/>
  <cols>
    <col min="1" max="1" width="5.37890625" style="1" customWidth="1"/>
    <col min="2" max="2" width="2.6875" style="1" customWidth="1"/>
    <col min="3" max="28" width="8.7421875" style="1" customWidth="1"/>
    <col min="29" max="29" width="2.6875" style="1" customWidth="1"/>
    <col min="30" max="30" width="5.37890625" style="1" customWidth="1"/>
    <col min="31" max="16384" width="8.7421875" style="1" hidden="1"/>
  </cols>
  <sheetData>
    <row r="1" spans="1:30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x14ac:dyDescent="0.2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0"/>
    </row>
    <row r="4" spans="1:30" x14ac:dyDescent="0.2">
      <c r="A4" s="10"/>
      <c r="B4" s="11"/>
      <c r="AC4" s="11"/>
      <c r="AD4" s="10"/>
    </row>
    <row r="5" spans="1:30" x14ac:dyDescent="0.2">
      <c r="A5" s="10"/>
      <c r="B5" s="11"/>
      <c r="AC5" s="11"/>
      <c r="AD5" s="10"/>
    </row>
    <row r="6" spans="1:30" x14ac:dyDescent="0.2">
      <c r="A6" s="10"/>
      <c r="B6" s="11"/>
      <c r="AC6" s="11"/>
      <c r="AD6" s="10"/>
    </row>
    <row r="7" spans="1:30" x14ac:dyDescent="0.2">
      <c r="A7" s="10"/>
      <c r="B7" s="11"/>
      <c r="AC7" s="11"/>
      <c r="AD7" s="10"/>
    </row>
    <row r="8" spans="1:30" x14ac:dyDescent="0.2">
      <c r="A8" s="10"/>
      <c r="B8" s="11"/>
      <c r="AC8" s="11"/>
      <c r="AD8" s="10"/>
    </row>
    <row r="9" spans="1:30" ht="29.25" x14ac:dyDescent="0.4">
      <c r="A9" s="10"/>
      <c r="B9" s="11"/>
      <c r="D9" s="34" t="s">
        <v>0</v>
      </c>
      <c r="AC9" s="11"/>
      <c r="AD9" s="10"/>
    </row>
    <row r="10" spans="1:30" x14ac:dyDescent="0.2">
      <c r="A10" s="10"/>
      <c r="B10" s="11"/>
      <c r="AC10" s="11"/>
      <c r="AD10" s="10"/>
    </row>
    <row r="11" spans="1:30" x14ac:dyDescent="0.2">
      <c r="A11" s="10"/>
      <c r="B11" s="11"/>
      <c r="AC11" s="11"/>
      <c r="AD11" s="10"/>
    </row>
    <row r="12" spans="1:30" x14ac:dyDescent="0.2">
      <c r="A12" s="10"/>
      <c r="B12" s="11"/>
      <c r="AC12" s="11"/>
      <c r="AD12" s="10"/>
    </row>
    <row r="13" spans="1:30" x14ac:dyDescent="0.2">
      <c r="A13" s="10"/>
      <c r="B13" s="11"/>
      <c r="AC13" s="11"/>
      <c r="AD13" s="10"/>
    </row>
    <row r="14" spans="1:30" x14ac:dyDescent="0.2">
      <c r="A14" s="10"/>
      <c r="B14" s="11"/>
      <c r="AC14" s="11"/>
      <c r="AD14" s="10"/>
    </row>
    <row r="15" spans="1:30" x14ac:dyDescent="0.2">
      <c r="A15" s="10"/>
      <c r="B15" s="11"/>
      <c r="AC15" s="11"/>
      <c r="AD15" s="10"/>
    </row>
    <row r="16" spans="1:30" x14ac:dyDescent="0.2">
      <c r="A16" s="10"/>
      <c r="B16" s="11"/>
      <c r="AC16" s="11"/>
      <c r="AD16" s="10"/>
    </row>
    <row r="17" spans="1:30" x14ac:dyDescent="0.2">
      <c r="A17" s="10"/>
      <c r="B17" s="11"/>
      <c r="AC17" s="11"/>
      <c r="AD17" s="10"/>
    </row>
    <row r="18" spans="1:30" x14ac:dyDescent="0.2">
      <c r="A18" s="10"/>
      <c r="B18" s="11"/>
      <c r="AC18" s="11"/>
      <c r="AD18" s="10"/>
    </row>
    <row r="19" spans="1:30" x14ac:dyDescent="0.2">
      <c r="A19" s="10"/>
      <c r="B19" s="11"/>
      <c r="D19" s="114" t="s">
        <v>1</v>
      </c>
      <c r="E19" s="110"/>
      <c r="F19" s="111"/>
      <c r="AC19" s="11"/>
      <c r="AD19" s="10"/>
    </row>
    <row r="20" spans="1:30" x14ac:dyDescent="0.2">
      <c r="A20" s="10"/>
      <c r="B20" s="11"/>
      <c r="D20" s="112" t="s">
        <v>2</v>
      </c>
      <c r="F20" s="26"/>
      <c r="AC20" s="11"/>
      <c r="AD20" s="10"/>
    </row>
    <row r="21" spans="1:30" x14ac:dyDescent="0.2">
      <c r="A21" s="10"/>
      <c r="B21" s="11"/>
      <c r="D21" s="112"/>
      <c r="F21" s="26"/>
      <c r="AC21" s="11"/>
      <c r="AD21" s="10"/>
    </row>
    <row r="22" spans="1:30" x14ac:dyDescent="0.2">
      <c r="A22" s="10"/>
      <c r="B22" s="11"/>
      <c r="D22" s="112"/>
      <c r="F22" s="26"/>
      <c r="AC22" s="11"/>
      <c r="AD22" s="10"/>
    </row>
    <row r="23" spans="1:30" x14ac:dyDescent="0.2">
      <c r="A23" s="10"/>
      <c r="B23" s="11"/>
      <c r="D23" s="112"/>
      <c r="F23" s="26"/>
      <c r="AC23" s="11"/>
      <c r="AD23" s="10"/>
    </row>
    <row r="24" spans="1:30" x14ac:dyDescent="0.2">
      <c r="A24" s="10"/>
      <c r="B24" s="11"/>
      <c r="D24" s="115" t="s">
        <v>3</v>
      </c>
      <c r="F24" s="26"/>
      <c r="AC24" s="11"/>
      <c r="AD24" s="10"/>
    </row>
    <row r="25" spans="1:30" x14ac:dyDescent="0.2">
      <c r="A25" s="10"/>
      <c r="B25" s="11"/>
      <c r="D25" s="112" t="s">
        <v>4</v>
      </c>
      <c r="F25" s="26"/>
      <c r="AC25" s="11"/>
      <c r="AD25" s="10"/>
    </row>
    <row r="26" spans="1:30" x14ac:dyDescent="0.2">
      <c r="A26" s="10"/>
      <c r="B26" s="11"/>
      <c r="D26" s="112" t="s">
        <v>5</v>
      </c>
      <c r="F26" s="26"/>
      <c r="AC26" s="11"/>
      <c r="AD26" s="10"/>
    </row>
    <row r="27" spans="1:30" x14ac:dyDescent="0.2">
      <c r="A27" s="10"/>
      <c r="B27" s="11"/>
      <c r="D27" s="112" t="s">
        <v>6</v>
      </c>
      <c r="F27" s="26"/>
      <c r="AC27" s="11"/>
      <c r="AD27" s="10"/>
    </row>
    <row r="28" spans="1:30" x14ac:dyDescent="0.2">
      <c r="A28" s="10"/>
      <c r="B28" s="11"/>
      <c r="D28" s="112" t="s">
        <v>7</v>
      </c>
      <c r="F28" s="26"/>
      <c r="AC28" s="11"/>
      <c r="AD28" s="10"/>
    </row>
    <row r="29" spans="1:30" x14ac:dyDescent="0.2">
      <c r="A29" s="10"/>
      <c r="B29" s="11"/>
      <c r="D29" s="113" t="s">
        <v>8</v>
      </c>
      <c r="E29" s="20"/>
      <c r="F29" s="36"/>
      <c r="AC29" s="11"/>
      <c r="AD29" s="10"/>
    </row>
    <row r="30" spans="1:30" x14ac:dyDescent="0.2">
      <c r="A30" s="10"/>
      <c r="B30" s="11"/>
      <c r="AC30" s="11"/>
      <c r="AD30" s="10"/>
    </row>
    <row r="31" spans="1:30" x14ac:dyDescent="0.2">
      <c r="A31" s="10"/>
      <c r="B31" s="11"/>
      <c r="AC31" s="11"/>
      <c r="AD31" s="10"/>
    </row>
    <row r="32" spans="1:30" x14ac:dyDescent="0.2">
      <c r="A32" s="10"/>
      <c r="B32" s="11"/>
      <c r="AC32" s="11"/>
      <c r="AD32" s="10"/>
    </row>
    <row r="33" spans="1:30" x14ac:dyDescent="0.2">
      <c r="A33" s="10"/>
      <c r="B33" s="11"/>
      <c r="AC33" s="11"/>
      <c r="AD33" s="10"/>
    </row>
    <row r="34" spans="1:30" x14ac:dyDescent="0.2">
      <c r="A34" s="10"/>
      <c r="B34" s="11"/>
      <c r="AC34" s="11"/>
      <c r="AD34" s="10"/>
    </row>
    <row r="35" spans="1:30" x14ac:dyDescent="0.2">
      <c r="A35" s="10"/>
      <c r="B35" s="11"/>
      <c r="AC35" s="11"/>
      <c r="AD35" s="10"/>
    </row>
    <row r="36" spans="1:30" x14ac:dyDescent="0.2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0"/>
    </row>
    <row r="37" spans="1:30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456C-3B8E-4785-9A3A-6BC274920085}">
  <dimension ref="D1:S16"/>
  <sheetViews>
    <sheetView zoomScale="70" zoomScaleNormal="70" workbookViewId="0">
      <pane xSplit="8" ySplit="5" topLeftCell="I6" activePane="bottomRight" state="frozen"/>
      <selection pane="bottomLeft" activeCell="A4" sqref="A4"/>
      <selection pane="topRight" activeCell="E1" sqref="E1"/>
      <selection pane="bottomRight" activeCell="P21" sqref="P21"/>
    </sheetView>
  </sheetViews>
  <sheetFormatPr defaultColWidth="8.7421875" defaultRowHeight="15" x14ac:dyDescent="0.2"/>
  <cols>
    <col min="1" max="3" width="1.4765625" style="1" customWidth="1"/>
    <col min="4" max="8" width="8.7421875" style="1" customWidth="1"/>
    <col min="9" max="19" width="9.953125" style="1" customWidth="1"/>
    <col min="20" max="16384" width="8.7421875" style="1"/>
  </cols>
  <sheetData>
    <row r="1" spans="4:19" s="10" customFormat="1" ht="6.4" customHeight="1" x14ac:dyDescent="0.2"/>
    <row r="2" spans="4:19" s="11" customFormat="1" ht="6.4" customHeight="1" x14ac:dyDescent="0.2"/>
    <row r="4" spans="4:19" ht="19.5" thickBot="1" x14ac:dyDescent="0.3">
      <c r="D4" s="15" t="s">
        <v>9</v>
      </c>
    </row>
    <row r="5" spans="4:19" ht="15.75" thickBot="1" x14ac:dyDescent="0.25">
      <c r="I5" s="23">
        <v>2026</v>
      </c>
      <c r="J5" s="24" t="s">
        <v>10</v>
      </c>
      <c r="K5" s="24" t="s">
        <v>11</v>
      </c>
      <c r="L5" s="24" t="s">
        <v>12</v>
      </c>
      <c r="M5" s="24" t="s">
        <v>13</v>
      </c>
      <c r="N5" s="24" t="s">
        <v>14</v>
      </c>
      <c r="O5" s="24" t="s">
        <v>15</v>
      </c>
      <c r="P5" s="24" t="s">
        <v>16</v>
      </c>
      <c r="Q5" s="24" t="s">
        <v>17</v>
      </c>
      <c r="R5" s="24" t="s">
        <v>18</v>
      </c>
      <c r="S5" s="25" t="s">
        <v>19</v>
      </c>
    </row>
    <row r="7" spans="4:19" x14ac:dyDescent="0.2">
      <c r="D7" s="14" t="s">
        <v>20</v>
      </c>
      <c r="E7" s="12"/>
      <c r="F7" s="12"/>
      <c r="G7" s="12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4:19" x14ac:dyDescent="0.2">
      <c r="D8" s="4" t="s">
        <v>21</v>
      </c>
      <c r="I8" s="5">
        <v>5.3535657795385605E-2</v>
      </c>
      <c r="J8" s="5">
        <v>4.5466259296915279E-2</v>
      </c>
      <c r="K8" s="5">
        <v>4.000000000000048E-2</v>
      </c>
      <c r="L8" s="5">
        <v>3.9494898232357745E-2</v>
      </c>
      <c r="M8" s="46">
        <f>L8</f>
        <v>3.9494898232357745E-2</v>
      </c>
      <c r="N8" s="46">
        <f t="shared" ref="N8:S8" si="0">M8</f>
        <v>3.9494898232357745E-2</v>
      </c>
      <c r="O8" s="46">
        <f t="shared" si="0"/>
        <v>3.9494898232357745E-2</v>
      </c>
      <c r="P8" s="46">
        <f t="shared" si="0"/>
        <v>3.9494898232357745E-2</v>
      </c>
      <c r="Q8" s="46">
        <f t="shared" si="0"/>
        <v>3.9494898232357745E-2</v>
      </c>
      <c r="R8" s="46">
        <f t="shared" si="0"/>
        <v>3.9494898232357745E-2</v>
      </c>
      <c r="S8" s="46">
        <f t="shared" si="0"/>
        <v>3.9494898232357745E-2</v>
      </c>
    </row>
    <row r="9" spans="4:19" x14ac:dyDescent="0.2">
      <c r="D9" s="4" t="s">
        <v>22</v>
      </c>
      <c r="I9" s="5">
        <v>5.496700400059229E-2</v>
      </c>
      <c r="J9" s="5">
        <v>4.3005223007009485E-2</v>
      </c>
      <c r="K9" s="5">
        <v>4.0000000000001368E-2</v>
      </c>
      <c r="L9" s="5">
        <v>3.5000000000000808E-2</v>
      </c>
      <c r="M9" s="46">
        <f>L9</f>
        <v>3.5000000000000808E-2</v>
      </c>
      <c r="N9" s="46">
        <f t="shared" ref="N9:S9" si="1">M9</f>
        <v>3.5000000000000808E-2</v>
      </c>
      <c r="O9" s="46">
        <f t="shared" si="1"/>
        <v>3.5000000000000808E-2</v>
      </c>
      <c r="P9" s="46">
        <f t="shared" si="1"/>
        <v>3.5000000000000808E-2</v>
      </c>
      <c r="Q9" s="46">
        <f t="shared" si="1"/>
        <v>3.5000000000000808E-2</v>
      </c>
      <c r="R9" s="46">
        <f t="shared" si="1"/>
        <v>3.5000000000000808E-2</v>
      </c>
      <c r="S9" s="46">
        <f t="shared" si="1"/>
        <v>3.5000000000000808E-2</v>
      </c>
    </row>
    <row r="10" spans="4:19" x14ac:dyDescent="0.2">
      <c r="I10" s="2"/>
      <c r="J10" s="2"/>
      <c r="K10" s="2"/>
      <c r="L10" s="2"/>
    </row>
    <row r="11" spans="4:19" x14ac:dyDescent="0.2">
      <c r="I11" s="2"/>
      <c r="J11" s="2"/>
      <c r="K11" s="2"/>
      <c r="L11" s="2"/>
    </row>
    <row r="12" spans="4:19" x14ac:dyDescent="0.2">
      <c r="D12" s="14" t="s">
        <v>23</v>
      </c>
      <c r="E12" s="12"/>
      <c r="F12" s="12"/>
      <c r="G12" s="12"/>
      <c r="H12" s="1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4:19" x14ac:dyDescent="0.2">
      <c r="D13" s="4" t="s">
        <v>24</v>
      </c>
      <c r="I13" s="6">
        <v>0.14000000000000001</v>
      </c>
      <c r="J13" s="6">
        <v>0.125</v>
      </c>
      <c r="K13" s="6">
        <v>0.115</v>
      </c>
      <c r="L13" s="6">
        <v>0.1075</v>
      </c>
      <c r="M13" s="37">
        <f>L13</f>
        <v>0.1075</v>
      </c>
      <c r="N13" s="37">
        <f t="shared" ref="N13:S13" si="2">M13</f>
        <v>0.1075</v>
      </c>
      <c r="O13" s="37">
        <f t="shared" si="2"/>
        <v>0.1075</v>
      </c>
      <c r="P13" s="37">
        <f t="shared" si="2"/>
        <v>0.1075</v>
      </c>
      <c r="Q13" s="37">
        <f t="shared" si="2"/>
        <v>0.1075</v>
      </c>
      <c r="R13" s="37">
        <f t="shared" si="2"/>
        <v>0.1075</v>
      </c>
      <c r="S13" s="37">
        <f t="shared" si="2"/>
        <v>0.1075</v>
      </c>
    </row>
    <row r="14" spans="4:19" x14ac:dyDescent="0.2">
      <c r="D14" s="4" t="s">
        <v>25</v>
      </c>
      <c r="I14" s="6">
        <v>0.14354166666666665</v>
      </c>
      <c r="J14" s="6">
        <v>0.13125000000000001</v>
      </c>
      <c r="K14" s="6">
        <v>0.11708333333333334</v>
      </c>
      <c r="L14" s="6">
        <v>0.11625000000000001</v>
      </c>
      <c r="M14" s="37">
        <f>L14</f>
        <v>0.11625000000000001</v>
      </c>
      <c r="N14" s="37">
        <f t="shared" ref="N14:S14" si="3">M14</f>
        <v>0.11625000000000001</v>
      </c>
      <c r="O14" s="37">
        <f t="shared" si="3"/>
        <v>0.11625000000000001</v>
      </c>
      <c r="P14" s="37">
        <f t="shared" si="3"/>
        <v>0.11625000000000001</v>
      </c>
      <c r="Q14" s="37">
        <f t="shared" si="3"/>
        <v>0.11625000000000001</v>
      </c>
      <c r="R14" s="37">
        <f t="shared" si="3"/>
        <v>0.11625000000000001</v>
      </c>
      <c r="S14" s="37">
        <f t="shared" si="3"/>
        <v>0.11625000000000001</v>
      </c>
    </row>
    <row r="15" spans="4:19" x14ac:dyDescent="0.2">
      <c r="D15" s="4" t="s">
        <v>26</v>
      </c>
      <c r="I15" s="6">
        <v>0.13881109969164743</v>
      </c>
      <c r="J15" s="6">
        <v>0.12383212084264113</v>
      </c>
      <c r="K15" s="6">
        <v>0.11384522228271673</v>
      </c>
      <c r="L15" s="6">
        <v>0.10635750154125603</v>
      </c>
      <c r="M15" s="37">
        <f>L15</f>
        <v>0.10635750154125603</v>
      </c>
      <c r="N15" s="37">
        <f t="shared" ref="N15:S15" si="4">M15</f>
        <v>0.10635750154125603</v>
      </c>
      <c r="O15" s="37">
        <f t="shared" si="4"/>
        <v>0.10635750154125603</v>
      </c>
      <c r="P15" s="37">
        <f t="shared" si="4"/>
        <v>0.10635750154125603</v>
      </c>
      <c r="Q15" s="37">
        <f t="shared" si="4"/>
        <v>0.10635750154125603</v>
      </c>
      <c r="R15" s="37">
        <f t="shared" si="4"/>
        <v>0.10635750154125603</v>
      </c>
      <c r="S15" s="37">
        <f t="shared" si="4"/>
        <v>0.10635750154125603</v>
      </c>
    </row>
    <row r="16" spans="4:19" x14ac:dyDescent="0.2">
      <c r="D16" s="4" t="s">
        <v>27</v>
      </c>
      <c r="I16" s="7">
        <v>0.14280474825536649</v>
      </c>
      <c r="J16" s="7">
        <v>0.13071502513181565</v>
      </c>
      <c r="K16" s="7">
        <v>0.11653196237234043</v>
      </c>
      <c r="L16" s="7">
        <v>0.10788111026123537</v>
      </c>
      <c r="M16" s="37">
        <f>L16</f>
        <v>0.10788111026123537</v>
      </c>
      <c r="N16" s="37">
        <f t="shared" ref="N16:S16" si="5">M16</f>
        <v>0.10788111026123537</v>
      </c>
      <c r="O16" s="37">
        <f t="shared" si="5"/>
        <v>0.10788111026123537</v>
      </c>
      <c r="P16" s="37">
        <f t="shared" si="5"/>
        <v>0.10788111026123537</v>
      </c>
      <c r="Q16" s="37">
        <f t="shared" si="5"/>
        <v>0.10788111026123537</v>
      </c>
      <c r="R16" s="37">
        <f t="shared" si="5"/>
        <v>0.10788111026123537</v>
      </c>
      <c r="S16" s="37">
        <f t="shared" si="5"/>
        <v>0.10788111026123537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ABFA-1ED1-44F0-A22B-964CAACE8E9B}">
  <sheetPr>
    <pageSetUpPr autoPageBreaks="0"/>
  </sheetPr>
  <dimension ref="B1:V129"/>
  <sheetViews>
    <sheetView zoomScale="70" zoomScaleNormal="70" workbookViewId="0">
      <pane xSplit="9" ySplit="5" topLeftCell="J77" activePane="bottomRight" state="frozen"/>
      <selection pane="bottomLeft" activeCell="A4" sqref="A4"/>
      <selection pane="topRight" activeCell="E1" sqref="E1"/>
      <selection pane="bottomRight" activeCell="D89" sqref="D89"/>
    </sheetView>
  </sheetViews>
  <sheetFormatPr defaultColWidth="8.7421875" defaultRowHeight="15" outlineLevelRow="1" x14ac:dyDescent="0.2"/>
  <cols>
    <col min="1" max="4" width="1.4765625" style="1" customWidth="1"/>
    <col min="5" max="5" width="21.38671875" style="1" customWidth="1"/>
    <col min="6" max="9" width="8.7421875" style="1" customWidth="1"/>
    <col min="10" max="22" width="16.140625" style="1" customWidth="1"/>
    <col min="23" max="16384" width="8.7421875" style="1"/>
  </cols>
  <sheetData>
    <row r="1" spans="2:22" s="10" customFormat="1" ht="6.4" customHeight="1" x14ac:dyDescent="0.2"/>
    <row r="2" spans="2:22" s="11" customFormat="1" ht="6.4" customHeight="1" x14ac:dyDescent="0.2"/>
    <row r="4" spans="2:22" ht="15.75" thickBot="1" x14ac:dyDescent="0.25">
      <c r="E4" s="3" t="s">
        <v>9</v>
      </c>
    </row>
    <row r="5" spans="2:22" ht="15.75" thickBot="1" x14ac:dyDescent="0.25">
      <c r="J5" s="93">
        <v>42004</v>
      </c>
      <c r="K5" s="24">
        <v>2015</v>
      </c>
      <c r="L5" s="24">
        <v>2016</v>
      </c>
      <c r="M5" s="24">
        <v>2017</v>
      </c>
      <c r="N5" s="24">
        <v>2018</v>
      </c>
      <c r="O5" s="24">
        <v>2019</v>
      </c>
      <c r="P5" s="24">
        <v>2020</v>
      </c>
      <c r="Q5" s="24">
        <v>2021</v>
      </c>
      <c r="R5" s="24">
        <v>2022</v>
      </c>
      <c r="S5" s="24">
        <v>2023</v>
      </c>
      <c r="T5" s="24">
        <v>2024</v>
      </c>
      <c r="U5" s="24">
        <v>2025</v>
      </c>
      <c r="V5" s="25" t="s">
        <v>28</v>
      </c>
    </row>
    <row r="6" spans="2:22" x14ac:dyDescent="0.2"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2:22" x14ac:dyDescent="0.2">
      <c r="B7" s="10"/>
      <c r="C7" s="13" t="s">
        <v>29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2:22" outlineLevel="1" x14ac:dyDescent="0.2"/>
    <row r="9" spans="2:22" outlineLevel="1" x14ac:dyDescent="0.2">
      <c r="C9" s="17" t="s">
        <v>30</v>
      </c>
      <c r="D9" s="32"/>
      <c r="E9" s="32"/>
      <c r="F9" s="32"/>
      <c r="G9" s="32"/>
      <c r="H9" s="32"/>
      <c r="I9" s="32"/>
      <c r="J9" s="32"/>
      <c r="K9" s="94">
        <v>490112</v>
      </c>
      <c r="L9" s="94">
        <v>504322</v>
      </c>
      <c r="M9" s="94">
        <v>495550</v>
      </c>
      <c r="N9" s="94">
        <v>468438</v>
      </c>
      <c r="O9" s="94">
        <v>442704</v>
      </c>
      <c r="P9" s="94">
        <v>356349</v>
      </c>
      <c r="Q9" s="94">
        <v>403942</v>
      </c>
      <c r="R9" s="94">
        <v>398406</v>
      </c>
      <c r="S9" s="94">
        <v>372588</v>
      </c>
      <c r="T9" s="94">
        <v>345060</v>
      </c>
      <c r="U9" s="94">
        <v>328251</v>
      </c>
      <c r="V9" s="94">
        <v>162400</v>
      </c>
    </row>
    <row r="10" spans="2:22" outlineLevel="1" x14ac:dyDescent="0.2">
      <c r="C10" s="18" t="s">
        <v>31</v>
      </c>
      <c r="K10" s="47"/>
      <c r="L10" s="95">
        <f>L9/K9-1</f>
        <v>2.8993372943327156E-2</v>
      </c>
      <c r="M10" s="95">
        <f>M9/L9-1</f>
        <v>-1.739364929548981E-2</v>
      </c>
      <c r="N10" s="95">
        <f t="shared" ref="N10:V10" si="0">N9/M9-1</f>
        <v>-5.471092725254767E-2</v>
      </c>
      <c r="O10" s="95">
        <f t="shared" si="0"/>
        <v>-5.4935765245347268E-2</v>
      </c>
      <c r="P10" s="95">
        <f t="shared" si="0"/>
        <v>-0.19506261520112766</v>
      </c>
      <c r="Q10" s="95">
        <f t="shared" si="0"/>
        <v>0.13355727110220594</v>
      </c>
      <c r="R10" s="95">
        <f t="shared" si="0"/>
        <v>-1.3704937837610398E-2</v>
      </c>
      <c r="S10" s="95">
        <f t="shared" si="0"/>
        <v>-6.4803240915046412E-2</v>
      </c>
      <c r="T10" s="95">
        <f t="shared" si="0"/>
        <v>-7.388321685078425E-2</v>
      </c>
      <c r="U10" s="95">
        <f t="shared" si="0"/>
        <v>-4.8713267257868176E-2</v>
      </c>
      <c r="V10" s="95">
        <f t="shared" si="0"/>
        <v>-0.50525664811379101</v>
      </c>
    </row>
    <row r="11" spans="2:22" outlineLevel="1" x14ac:dyDescent="0.2">
      <c r="C11" s="33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spans="2:22" outlineLevel="1" x14ac:dyDescent="0.2">
      <c r="C12" s="19" t="s">
        <v>32</v>
      </c>
      <c r="K12" s="47">
        <v>-48525</v>
      </c>
      <c r="L12" s="47">
        <v>-45904</v>
      </c>
      <c r="M12" s="47">
        <v>-41826</v>
      </c>
      <c r="N12" s="47">
        <v>-36772</v>
      </c>
      <c r="O12" s="47">
        <v>-33317</v>
      </c>
      <c r="P12" s="47">
        <v>-24251</v>
      </c>
      <c r="Q12" s="47">
        <v>-27059</v>
      </c>
      <c r="R12" s="47">
        <v>-25902</v>
      </c>
      <c r="S12" s="47">
        <v>-23010</v>
      </c>
      <c r="T12" s="47">
        <v>-20854</v>
      </c>
      <c r="U12" s="47">
        <v>-19894</v>
      </c>
      <c r="V12" s="47">
        <v>-9962</v>
      </c>
    </row>
    <row r="13" spans="2:22" outlineLevel="1" x14ac:dyDescent="0.2">
      <c r="C13" s="19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</row>
    <row r="14" spans="2:22" outlineLevel="1" x14ac:dyDescent="0.2">
      <c r="C14" s="17" t="s">
        <v>33</v>
      </c>
      <c r="D14" s="32"/>
      <c r="E14" s="32"/>
      <c r="F14" s="32"/>
      <c r="G14" s="32"/>
      <c r="H14" s="32"/>
      <c r="I14" s="32"/>
      <c r="J14" s="32"/>
      <c r="K14" s="94">
        <v>441587</v>
      </c>
      <c r="L14" s="94">
        <v>458418</v>
      </c>
      <c r="M14" s="94">
        <v>453724</v>
      </c>
      <c r="N14" s="94">
        <v>431666</v>
      </c>
      <c r="O14" s="94">
        <v>409388</v>
      </c>
      <c r="P14" s="94">
        <v>332098</v>
      </c>
      <c r="Q14" s="94">
        <v>376882</v>
      </c>
      <c r="R14" s="94">
        <v>372505</v>
      </c>
      <c r="S14" s="94">
        <v>349578</v>
      </c>
      <c r="T14" s="94">
        <v>324207</v>
      </c>
      <c r="U14" s="94">
        <v>308358</v>
      </c>
      <c r="V14" s="94">
        <v>152439</v>
      </c>
    </row>
    <row r="15" spans="2:22" outlineLevel="1" x14ac:dyDescent="0.2">
      <c r="C15" s="18" t="s">
        <v>31</v>
      </c>
      <c r="K15" s="47"/>
      <c r="L15" s="95">
        <f>L14/K14-1</f>
        <v>3.8114799575168723E-2</v>
      </c>
      <c r="M15" s="95">
        <f>M14/L14-1</f>
        <v>-1.0239563018904163E-2</v>
      </c>
      <c r="N15" s="95">
        <f t="shared" ref="N15:V15" si="1">N14/M14-1</f>
        <v>-4.8615457855436306E-2</v>
      </c>
      <c r="O15" s="95">
        <f t="shared" si="1"/>
        <v>-5.1609346114820265E-2</v>
      </c>
      <c r="P15" s="95">
        <f t="shared" si="1"/>
        <v>-0.18879400470946872</v>
      </c>
      <c r="Q15" s="95">
        <f t="shared" si="1"/>
        <v>0.1348517606248758</v>
      </c>
      <c r="R15" s="95">
        <f t="shared" si="1"/>
        <v>-1.1613714637472738E-2</v>
      </c>
      <c r="S15" s="95">
        <f t="shared" si="1"/>
        <v>-6.1548167138696153E-2</v>
      </c>
      <c r="T15" s="95">
        <f t="shared" si="1"/>
        <v>-7.2576077441944276E-2</v>
      </c>
      <c r="U15" s="95">
        <f t="shared" si="1"/>
        <v>-4.888543430586012E-2</v>
      </c>
      <c r="V15" s="95">
        <f t="shared" si="1"/>
        <v>-0.50564279181989757</v>
      </c>
    </row>
    <row r="16" spans="2:22" outlineLevel="1" x14ac:dyDescent="0.2">
      <c r="C16" s="18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3:22" outlineLevel="1" x14ac:dyDescent="0.2">
      <c r="C17" s="33" t="s">
        <v>34</v>
      </c>
      <c r="D17" s="3"/>
      <c r="E17" s="3"/>
      <c r="F17" s="3"/>
      <c r="G17" s="3"/>
      <c r="H17" s="3"/>
      <c r="I17" s="3"/>
      <c r="J17" s="3"/>
      <c r="K17" s="96">
        <v>-287633</v>
      </c>
      <c r="L17" s="96">
        <v>-309689</v>
      </c>
      <c r="M17" s="96">
        <v>-301724</v>
      </c>
      <c r="N17" s="96">
        <v>-298402</v>
      </c>
      <c r="O17" s="96">
        <v>-280030</v>
      </c>
      <c r="P17" s="96">
        <v>-255526</v>
      </c>
      <c r="Q17" s="96">
        <v>-263826</v>
      </c>
      <c r="R17" s="96">
        <v>-277723</v>
      </c>
      <c r="S17" s="96">
        <v>-251763</v>
      </c>
      <c r="T17" s="96">
        <v>-252467</v>
      </c>
      <c r="U17" s="96">
        <v>-255162</v>
      </c>
      <c r="V17" s="96">
        <v>-130287</v>
      </c>
    </row>
    <row r="18" spans="3:22" outlineLevel="1" x14ac:dyDescent="0.2">
      <c r="D18" s="97" t="s">
        <v>35</v>
      </c>
      <c r="K18" s="47">
        <v>-111370</v>
      </c>
      <c r="L18" s="47">
        <v>-124373</v>
      </c>
      <c r="M18" s="47">
        <v>-116812</v>
      </c>
      <c r="N18" s="47">
        <v>-118932</v>
      </c>
      <c r="O18" s="47">
        <v>-107784</v>
      </c>
      <c r="P18" s="47">
        <v>-112859</v>
      </c>
      <c r="Q18" s="47">
        <v>-100467</v>
      </c>
      <c r="R18" s="47">
        <v>-110696</v>
      </c>
      <c r="S18" s="47">
        <v>-98560</v>
      </c>
      <c r="T18" s="47">
        <v>-105430</v>
      </c>
      <c r="U18" s="47">
        <v>-113344</v>
      </c>
      <c r="V18" s="47">
        <v>-60854</v>
      </c>
    </row>
    <row r="19" spans="3:22" outlineLevel="1" x14ac:dyDescent="0.2">
      <c r="D19" s="97" t="s">
        <v>36</v>
      </c>
      <c r="K19" s="47">
        <v>-8910</v>
      </c>
      <c r="L19" s="47">
        <v>-9950</v>
      </c>
      <c r="M19" s="47">
        <v>-9345</v>
      </c>
      <c r="N19" s="47">
        <v>-9515</v>
      </c>
      <c r="O19" s="47">
        <v>-8622</v>
      </c>
      <c r="P19" s="47">
        <v>-9029</v>
      </c>
      <c r="Q19" s="47">
        <v>-8037</v>
      </c>
      <c r="R19" s="47">
        <v>-8856</v>
      </c>
      <c r="S19" s="47">
        <v>-7885</v>
      </c>
      <c r="T19" s="47">
        <v>-8434</v>
      </c>
      <c r="U19" s="47">
        <v>-9068</v>
      </c>
      <c r="V19" s="47">
        <v>-4868</v>
      </c>
    </row>
    <row r="20" spans="3:22" outlineLevel="1" x14ac:dyDescent="0.2">
      <c r="D20" s="97" t="s">
        <v>37</v>
      </c>
      <c r="K20" s="47">
        <v>-9603</v>
      </c>
      <c r="L20" s="47">
        <v>-10629</v>
      </c>
      <c r="M20" s="47">
        <v>-9885</v>
      </c>
      <c r="N20" s="47">
        <v>-10178</v>
      </c>
      <c r="O20" s="47">
        <v>-9051</v>
      </c>
      <c r="P20" s="47">
        <v>-9440</v>
      </c>
      <c r="Q20" s="47">
        <v>-8223</v>
      </c>
      <c r="R20" s="47">
        <v>-9050</v>
      </c>
      <c r="S20" s="47">
        <v>-7658</v>
      </c>
      <c r="T20" s="47">
        <v>-8012</v>
      </c>
      <c r="U20" s="47">
        <v>-8400</v>
      </c>
      <c r="V20" s="47">
        <v>-4388</v>
      </c>
    </row>
    <row r="21" spans="3:22" outlineLevel="1" x14ac:dyDescent="0.2">
      <c r="D21" s="97" t="s">
        <v>38</v>
      </c>
      <c r="K21" s="47">
        <v>-82307</v>
      </c>
      <c r="L21" s="47">
        <v>-86544</v>
      </c>
      <c r="M21" s="47">
        <v>-87155</v>
      </c>
      <c r="N21" s="47">
        <v>-84743</v>
      </c>
      <c r="O21" s="47">
        <v>-82750</v>
      </c>
      <c r="P21" s="47">
        <v>-64732</v>
      </c>
      <c r="Q21" s="47">
        <v>-78936</v>
      </c>
      <c r="R21" s="47">
        <v>-80676</v>
      </c>
      <c r="S21" s="47">
        <v>-72212</v>
      </c>
      <c r="T21" s="47">
        <v>-68679</v>
      </c>
      <c r="U21" s="47">
        <v>-64800</v>
      </c>
      <c r="V21" s="47">
        <v>-30095</v>
      </c>
    </row>
    <row r="22" spans="3:22" outlineLevel="1" x14ac:dyDescent="0.2">
      <c r="D22" s="97" t="s">
        <v>39</v>
      </c>
      <c r="K22" s="47">
        <v>-12483</v>
      </c>
      <c r="L22" s="47">
        <v>-12830</v>
      </c>
      <c r="M22" s="47">
        <v>-13638</v>
      </c>
      <c r="N22" s="47">
        <v>-12961</v>
      </c>
      <c r="O22" s="47">
        <v>-12326</v>
      </c>
      <c r="P22" s="47">
        <v>-9350</v>
      </c>
      <c r="Q22" s="47">
        <v>-12217</v>
      </c>
      <c r="R22" s="47">
        <v>-12102</v>
      </c>
      <c r="S22" s="47">
        <v>-11378</v>
      </c>
      <c r="T22" s="47">
        <v>-10417</v>
      </c>
      <c r="U22" s="47">
        <v>-9360</v>
      </c>
      <c r="V22" s="47">
        <v>-4890</v>
      </c>
    </row>
    <row r="23" spans="3:22" outlineLevel="1" x14ac:dyDescent="0.2">
      <c r="D23" s="97" t="s">
        <v>40</v>
      </c>
      <c r="K23" s="47">
        <v>-31460</v>
      </c>
      <c r="L23" s="47">
        <v>-32372</v>
      </c>
      <c r="M23" s="47">
        <v>-31809</v>
      </c>
      <c r="N23" s="47">
        <v>-30069</v>
      </c>
      <c r="O23" s="47">
        <v>-28417</v>
      </c>
      <c r="P23" s="47">
        <v>-22874</v>
      </c>
      <c r="Q23" s="47">
        <v>-25929</v>
      </c>
      <c r="R23" s="47">
        <v>-25574</v>
      </c>
      <c r="S23" s="47">
        <v>-23916</v>
      </c>
      <c r="T23" s="47">
        <v>-22149</v>
      </c>
      <c r="U23" s="47">
        <v>-21070</v>
      </c>
      <c r="V23" s="47">
        <v>-10424</v>
      </c>
    </row>
    <row r="24" spans="3:22" outlineLevel="1" x14ac:dyDescent="0.2">
      <c r="D24" s="97" t="s">
        <v>41</v>
      </c>
      <c r="K24" s="47">
        <v>-15616</v>
      </c>
      <c r="L24" s="47">
        <v>-16201</v>
      </c>
      <c r="M24" s="47">
        <v>-16072</v>
      </c>
      <c r="N24" s="47">
        <v>-15363</v>
      </c>
      <c r="O24" s="47">
        <v>-14711</v>
      </c>
      <c r="P24" s="47">
        <v>-12355</v>
      </c>
      <c r="Q24" s="47">
        <v>-13807</v>
      </c>
      <c r="R24" s="47">
        <v>-13885</v>
      </c>
      <c r="S24" s="47">
        <v>-13302</v>
      </c>
      <c r="T24" s="47">
        <v>-12649</v>
      </c>
      <c r="U24" s="47">
        <v>-12310</v>
      </c>
      <c r="V24" s="47">
        <v>-6174</v>
      </c>
    </row>
    <row r="25" spans="3:22" outlineLevel="1" x14ac:dyDescent="0.2">
      <c r="D25" s="97" t="s">
        <v>42</v>
      </c>
      <c r="K25" s="47">
        <v>-9721</v>
      </c>
      <c r="L25" s="47">
        <v>-10270</v>
      </c>
      <c r="M25" s="47">
        <v>-10396</v>
      </c>
      <c r="N25" s="47">
        <v>-10168</v>
      </c>
      <c r="O25" s="47">
        <v>-9993</v>
      </c>
      <c r="P25" s="47">
        <v>-9070</v>
      </c>
      <c r="Q25" s="47">
        <v>-9884</v>
      </c>
      <c r="R25" s="47">
        <v>-10287</v>
      </c>
      <c r="S25" s="47">
        <v>-10254</v>
      </c>
      <c r="T25" s="47">
        <v>-10153</v>
      </c>
      <c r="U25" s="47">
        <v>-10214</v>
      </c>
      <c r="V25" s="47">
        <v>-5219</v>
      </c>
    </row>
    <row r="26" spans="3:22" outlineLevel="1" x14ac:dyDescent="0.2">
      <c r="D26" s="97" t="s">
        <v>43</v>
      </c>
      <c r="K26" s="47">
        <v>-800</v>
      </c>
      <c r="L26" s="47">
        <v>-885</v>
      </c>
      <c r="M26" s="47">
        <v>-941</v>
      </c>
      <c r="N26" s="47">
        <v>-969</v>
      </c>
      <c r="O26" s="47">
        <v>-1006</v>
      </c>
      <c r="P26" s="47">
        <v>-1049</v>
      </c>
      <c r="Q26" s="47">
        <v>-1096</v>
      </c>
      <c r="R26" s="47">
        <v>-1207</v>
      </c>
      <c r="S26" s="47">
        <v>-1276</v>
      </c>
      <c r="T26" s="47">
        <v>-1336</v>
      </c>
      <c r="U26" s="47">
        <v>-1400</v>
      </c>
      <c r="V26" s="47">
        <v>-731</v>
      </c>
    </row>
    <row r="27" spans="3:22" outlineLevel="1" x14ac:dyDescent="0.2">
      <c r="D27" s="97" t="s">
        <v>44</v>
      </c>
      <c r="K27" s="47">
        <v>-5364</v>
      </c>
      <c r="L27" s="47">
        <v>-5635</v>
      </c>
      <c r="M27" s="47">
        <v>-5669</v>
      </c>
      <c r="N27" s="47">
        <v>-5507</v>
      </c>
      <c r="O27" s="47">
        <v>-5370</v>
      </c>
      <c r="P27" s="47">
        <v>-4767</v>
      </c>
      <c r="Q27" s="47">
        <v>-5232</v>
      </c>
      <c r="R27" s="47">
        <v>-5393</v>
      </c>
      <c r="S27" s="47">
        <v>-5318</v>
      </c>
      <c r="T27" s="47">
        <v>-5210</v>
      </c>
      <c r="U27" s="47">
        <v>-5197</v>
      </c>
      <c r="V27" s="47">
        <v>-2643</v>
      </c>
    </row>
    <row r="28" spans="3:22" outlineLevel="1" x14ac:dyDescent="0.2">
      <c r="C28" s="98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</row>
    <row r="29" spans="3:22" outlineLevel="1" x14ac:dyDescent="0.2">
      <c r="C29" s="17" t="s">
        <v>45</v>
      </c>
      <c r="D29" s="32"/>
      <c r="E29" s="32"/>
      <c r="F29" s="32"/>
      <c r="G29" s="32"/>
      <c r="H29" s="32"/>
      <c r="I29" s="32"/>
      <c r="J29" s="32"/>
      <c r="K29" s="94">
        <v>153953</v>
      </c>
      <c r="L29" s="94">
        <v>148728</v>
      </c>
      <c r="M29" s="94">
        <v>152000</v>
      </c>
      <c r="N29" s="94">
        <v>133264</v>
      </c>
      <c r="O29" s="94">
        <v>129357</v>
      </c>
      <c r="P29" s="94">
        <v>76573</v>
      </c>
      <c r="Q29" s="94">
        <v>113056</v>
      </c>
      <c r="R29" s="94">
        <v>94781</v>
      </c>
      <c r="S29" s="94">
        <v>97815</v>
      </c>
      <c r="T29" s="94">
        <v>71740</v>
      </c>
      <c r="U29" s="94">
        <v>53195</v>
      </c>
      <c r="V29" s="94">
        <v>22152</v>
      </c>
    </row>
    <row r="30" spans="3:22" outlineLevel="1" x14ac:dyDescent="0.2">
      <c r="C30" s="18" t="s">
        <v>31</v>
      </c>
      <c r="K30" s="47"/>
      <c r="L30" s="95">
        <f>L29/K29-1</f>
        <v>-3.3938929413522279E-2</v>
      </c>
      <c r="M30" s="95">
        <f>M29/L29-1</f>
        <v>2.1999892421064038E-2</v>
      </c>
      <c r="N30" s="95">
        <f t="shared" ref="N30:V30" si="2">N29/M29-1</f>
        <v>-0.12326315789473685</v>
      </c>
      <c r="O30" s="95">
        <f t="shared" si="2"/>
        <v>-2.9317745227518288E-2</v>
      </c>
      <c r="P30" s="95">
        <f t="shared" si="2"/>
        <v>-0.40804904257210661</v>
      </c>
      <c r="Q30" s="95">
        <f t="shared" si="2"/>
        <v>0.47644731171561783</v>
      </c>
      <c r="R30" s="95">
        <f t="shared" si="2"/>
        <v>-0.16164555618454568</v>
      </c>
      <c r="S30" s="95">
        <f t="shared" si="2"/>
        <v>3.2010635042888369E-2</v>
      </c>
      <c r="T30" s="95">
        <f t="shared" si="2"/>
        <v>-0.26657465623881815</v>
      </c>
      <c r="U30" s="95">
        <f t="shared" si="2"/>
        <v>-0.25850292723724566</v>
      </c>
      <c r="V30" s="95">
        <f t="shared" si="2"/>
        <v>-0.58356988438763047</v>
      </c>
    </row>
    <row r="31" spans="3:22" outlineLevel="1" x14ac:dyDescent="0.2">
      <c r="C31" s="18" t="s">
        <v>46</v>
      </c>
      <c r="K31" s="116">
        <f>K29/K14</f>
        <v>0.34863571617823896</v>
      </c>
      <c r="L31" s="116">
        <f t="shared" ref="L31:V31" si="3">L29/L14</f>
        <v>0.32443752208682908</v>
      </c>
      <c r="M31" s="116">
        <f t="shared" si="3"/>
        <v>0.33500542179827386</v>
      </c>
      <c r="N31" s="116">
        <f t="shared" si="3"/>
        <v>0.30872016790759521</v>
      </c>
      <c r="O31" s="116">
        <f t="shared" si="3"/>
        <v>0.31597653082161664</v>
      </c>
      <c r="P31" s="116">
        <f t="shared" si="3"/>
        <v>0.23057350541105337</v>
      </c>
      <c r="Q31" s="116">
        <f t="shared" si="3"/>
        <v>0.29997718118668443</v>
      </c>
      <c r="R31" s="116">
        <f t="shared" si="3"/>
        <v>0.25444222225205032</v>
      </c>
      <c r="S31" s="116">
        <f t="shared" si="3"/>
        <v>0.27980879803648973</v>
      </c>
      <c r="T31" s="116">
        <f t="shared" si="3"/>
        <v>0.22127838078758325</v>
      </c>
      <c r="U31" s="116">
        <f t="shared" si="3"/>
        <v>0.17251052348244572</v>
      </c>
      <c r="V31" s="116">
        <f t="shared" si="3"/>
        <v>0.14531714325074291</v>
      </c>
    </row>
    <row r="32" spans="3:22" outlineLevel="1" x14ac:dyDescent="0.2">
      <c r="C32" s="18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</row>
    <row r="33" spans="3:22" outlineLevel="1" x14ac:dyDescent="0.2">
      <c r="C33" s="33" t="s">
        <v>47</v>
      </c>
      <c r="D33" s="3"/>
      <c r="E33" s="3"/>
      <c r="F33" s="3"/>
      <c r="G33" s="3"/>
      <c r="H33" s="3"/>
      <c r="I33" s="3"/>
      <c r="J33" s="3"/>
      <c r="K33" s="96">
        <f>SUM(K34:K43)</f>
        <v>-101717</v>
      </c>
      <c r="L33" s="96">
        <f>SUM(L34:L43)</f>
        <v>-101739</v>
      </c>
      <c r="M33" s="96">
        <f t="shared" ref="M33:V33" si="4">SUM(M34:M43)</f>
        <v>-102267</v>
      </c>
      <c r="N33" s="96">
        <f t="shared" si="4"/>
        <v>-89332</v>
      </c>
      <c r="O33" s="96">
        <f t="shared" si="4"/>
        <v>-85535</v>
      </c>
      <c r="P33" s="96">
        <f t="shared" si="4"/>
        <v>-77856</v>
      </c>
      <c r="Q33" s="96">
        <f t="shared" si="4"/>
        <v>-87247</v>
      </c>
      <c r="R33" s="96">
        <f t="shared" si="4"/>
        <v>-86884</v>
      </c>
      <c r="S33" s="96">
        <f t="shared" si="4"/>
        <v>-85243</v>
      </c>
      <c r="T33" s="96">
        <f t="shared" si="4"/>
        <v>-82825</v>
      </c>
      <c r="U33" s="96">
        <f t="shared" si="4"/>
        <v>-81500</v>
      </c>
      <c r="V33" s="96">
        <f t="shared" si="4"/>
        <v>-40372</v>
      </c>
    </row>
    <row r="34" spans="3:22" outlineLevel="1" x14ac:dyDescent="0.2">
      <c r="D34" s="97" t="s">
        <v>48</v>
      </c>
      <c r="K34" s="47">
        <v>-22800</v>
      </c>
      <c r="L34" s="47">
        <v>-24000</v>
      </c>
      <c r="M34" s="47">
        <v>-24600</v>
      </c>
      <c r="N34" s="47">
        <v>-25200</v>
      </c>
      <c r="O34" s="47">
        <v>-25800</v>
      </c>
      <c r="P34" s="47">
        <v>-26400</v>
      </c>
      <c r="Q34" s="47">
        <v>-27000</v>
      </c>
      <c r="R34" s="47">
        <v>-28800</v>
      </c>
      <c r="S34" s="47">
        <v>-30000</v>
      </c>
      <c r="T34" s="47">
        <v>-30600</v>
      </c>
      <c r="U34" s="47">
        <v>-31200</v>
      </c>
      <c r="V34" s="47">
        <v>-16200</v>
      </c>
    </row>
    <row r="35" spans="3:22" outlineLevel="1" x14ac:dyDescent="0.2">
      <c r="D35" s="97" t="s">
        <v>49</v>
      </c>
      <c r="K35" s="47">
        <v>-1943</v>
      </c>
      <c r="L35" s="47">
        <v>-2151</v>
      </c>
      <c r="M35" s="47">
        <v>-2286</v>
      </c>
      <c r="N35" s="47">
        <v>-2354</v>
      </c>
      <c r="O35" s="47">
        <v>-2442</v>
      </c>
      <c r="P35" s="47">
        <v>-2547</v>
      </c>
      <c r="Q35" s="47">
        <v>-2663</v>
      </c>
      <c r="R35" s="47">
        <v>-2931</v>
      </c>
      <c r="S35" s="47">
        <v>-3100</v>
      </c>
      <c r="T35" s="47">
        <v>-3243</v>
      </c>
      <c r="U35" s="47">
        <v>-3400</v>
      </c>
      <c r="V35" s="47">
        <v>-1776</v>
      </c>
    </row>
    <row r="36" spans="3:22" outlineLevel="1" x14ac:dyDescent="0.2">
      <c r="D36" s="97" t="s">
        <v>50</v>
      </c>
      <c r="K36" s="47">
        <v>-2401</v>
      </c>
      <c r="L36" s="47">
        <v>-5314</v>
      </c>
      <c r="M36" s="47">
        <v>-5648</v>
      </c>
      <c r="N36" s="47">
        <v>-5816</v>
      </c>
      <c r="O36" s="47">
        <v>-6034</v>
      </c>
      <c r="P36" s="47">
        <v>-6294</v>
      </c>
      <c r="Q36" s="47">
        <v>-6578</v>
      </c>
      <c r="R36" s="47">
        <v>-7240</v>
      </c>
      <c r="S36" s="47">
        <v>-7658</v>
      </c>
      <c r="T36" s="47">
        <v>-8012</v>
      </c>
      <c r="U36" s="47">
        <v>-8400</v>
      </c>
      <c r="V36" s="47">
        <v>-4388</v>
      </c>
    </row>
    <row r="37" spans="3:22" outlineLevel="1" x14ac:dyDescent="0.2">
      <c r="D37" s="97" t="s">
        <v>51</v>
      </c>
      <c r="K37" s="47">
        <v>-1509</v>
      </c>
      <c r="L37" s="47">
        <v>-1670</v>
      </c>
      <c r="M37" s="47">
        <v>-1775</v>
      </c>
      <c r="N37" s="47">
        <v>-1828</v>
      </c>
      <c r="O37" s="47">
        <v>-1896</v>
      </c>
      <c r="P37" s="47">
        <v>-1978</v>
      </c>
      <c r="Q37" s="47">
        <v>-2067</v>
      </c>
      <c r="R37" s="47">
        <v>-2276</v>
      </c>
      <c r="S37" s="47">
        <v>-2408</v>
      </c>
      <c r="T37" s="47">
        <v>-2519</v>
      </c>
      <c r="U37" s="47">
        <v>-2640</v>
      </c>
      <c r="V37" s="47">
        <v>-1379</v>
      </c>
    </row>
    <row r="38" spans="3:22" outlineLevel="1" x14ac:dyDescent="0.2">
      <c r="D38" s="97" t="s">
        <v>52</v>
      </c>
      <c r="K38" s="47">
        <v>-892</v>
      </c>
      <c r="L38" s="47">
        <v>-986</v>
      </c>
      <c r="M38" s="47">
        <v>-1049</v>
      </c>
      <c r="N38" s="47">
        <v>-1080</v>
      </c>
      <c r="O38" s="47">
        <v>-1120</v>
      </c>
      <c r="P38" s="47">
        <v>-1168</v>
      </c>
      <c r="Q38" s="47">
        <v>-1222</v>
      </c>
      <c r="R38" s="47">
        <v>-1345</v>
      </c>
      <c r="S38" s="47">
        <v>-1422</v>
      </c>
      <c r="T38" s="47">
        <v>-1488</v>
      </c>
      <c r="U38" s="47">
        <v>-1560</v>
      </c>
      <c r="V38" s="47">
        <v>-815</v>
      </c>
    </row>
    <row r="39" spans="3:22" outlineLevel="1" x14ac:dyDescent="0.2">
      <c r="D39" s="97" t="s">
        <v>53</v>
      </c>
      <c r="K39" s="47">
        <v>-1086</v>
      </c>
      <c r="L39" s="47">
        <v>-1202</v>
      </c>
      <c r="M39" s="47">
        <v>-1278</v>
      </c>
      <c r="N39" s="47">
        <v>-1315</v>
      </c>
      <c r="O39" s="47">
        <v>-1364</v>
      </c>
      <c r="P39" s="47">
        <v>-1424</v>
      </c>
      <c r="Q39" s="47">
        <v>-1488</v>
      </c>
      <c r="R39" s="47">
        <v>-1637</v>
      </c>
      <c r="S39" s="47">
        <v>-1732</v>
      </c>
      <c r="T39" s="47">
        <v>-1813</v>
      </c>
      <c r="U39" s="47">
        <v>-1900</v>
      </c>
      <c r="V39" s="47">
        <v>-993</v>
      </c>
    </row>
    <row r="40" spans="3:22" outlineLevel="1" x14ac:dyDescent="0.2">
      <c r="D40" s="97" t="s">
        <v>54</v>
      </c>
      <c r="K40" s="47">
        <v>-1200</v>
      </c>
      <c r="L40" s="47">
        <v>-1329</v>
      </c>
      <c r="M40" s="47">
        <v>-1412</v>
      </c>
      <c r="N40" s="47">
        <v>-1454</v>
      </c>
      <c r="O40" s="47">
        <v>-1508</v>
      </c>
      <c r="P40" s="47">
        <v>-1573</v>
      </c>
      <c r="Q40" s="47">
        <v>-1645</v>
      </c>
      <c r="R40" s="47">
        <v>-1810</v>
      </c>
      <c r="S40" s="47">
        <v>-1915</v>
      </c>
      <c r="T40" s="47">
        <v>-2003</v>
      </c>
      <c r="U40" s="47">
        <v>-2100</v>
      </c>
      <c r="V40" s="47">
        <v>-1097</v>
      </c>
    </row>
    <row r="41" spans="3:22" outlineLevel="1" x14ac:dyDescent="0.2">
      <c r="D41" s="97" t="s">
        <v>55</v>
      </c>
      <c r="K41" s="47">
        <v>-514</v>
      </c>
      <c r="L41" s="47">
        <v>-569</v>
      </c>
      <c r="M41" s="47">
        <v>-605</v>
      </c>
      <c r="N41" s="47">
        <v>-623</v>
      </c>
      <c r="O41" s="47">
        <v>-647</v>
      </c>
      <c r="P41" s="47">
        <v>-674</v>
      </c>
      <c r="Q41" s="47">
        <v>-705</v>
      </c>
      <c r="R41" s="47">
        <v>-776</v>
      </c>
      <c r="S41" s="47">
        <v>-820</v>
      </c>
      <c r="T41" s="47">
        <v>-858</v>
      </c>
      <c r="U41" s="47">
        <v>-900</v>
      </c>
      <c r="V41" s="47">
        <v>-470</v>
      </c>
    </row>
    <row r="42" spans="3:22" outlineLevel="1" x14ac:dyDescent="0.2">
      <c r="D42" s="97" t="s">
        <v>56</v>
      </c>
      <c r="K42" s="47">
        <v>-68000</v>
      </c>
      <c r="L42" s="47">
        <v>-63000</v>
      </c>
      <c r="M42" s="47">
        <v>-62000</v>
      </c>
      <c r="N42" s="47">
        <v>-48000</v>
      </c>
      <c r="O42" s="47">
        <v>-43000</v>
      </c>
      <c r="P42" s="47">
        <v>-34000</v>
      </c>
      <c r="Q42" s="47">
        <v>-42000</v>
      </c>
      <c r="R42" s="47">
        <v>-38000</v>
      </c>
      <c r="S42" s="47">
        <v>-34000</v>
      </c>
      <c r="T42" s="47">
        <v>-30000</v>
      </c>
      <c r="U42" s="47">
        <v>-27000</v>
      </c>
      <c r="V42" s="47">
        <v>-12000</v>
      </c>
    </row>
    <row r="43" spans="3:22" outlineLevel="1" x14ac:dyDescent="0.2">
      <c r="D43" s="97" t="s">
        <v>57</v>
      </c>
      <c r="K43" s="47">
        <v>-1372</v>
      </c>
      <c r="L43" s="47">
        <v>-1518</v>
      </c>
      <c r="M43" s="47">
        <v>-1614</v>
      </c>
      <c r="N43" s="47">
        <v>-1662</v>
      </c>
      <c r="O43" s="47">
        <v>-1724</v>
      </c>
      <c r="P43" s="47">
        <v>-1798</v>
      </c>
      <c r="Q43" s="47">
        <v>-1879</v>
      </c>
      <c r="R43" s="47">
        <v>-2069</v>
      </c>
      <c r="S43" s="47">
        <v>-2188</v>
      </c>
      <c r="T43" s="47">
        <v>-2289</v>
      </c>
      <c r="U43" s="47">
        <v>-2400</v>
      </c>
      <c r="V43" s="47">
        <v>-1254</v>
      </c>
    </row>
    <row r="44" spans="3:22" outlineLevel="1" x14ac:dyDescent="0.2">
      <c r="C44" s="98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</row>
    <row r="45" spans="3:22" outlineLevel="1" x14ac:dyDescent="0.2">
      <c r="C45" s="32" t="s">
        <v>58</v>
      </c>
      <c r="D45" s="32"/>
      <c r="E45" s="32"/>
      <c r="F45" s="32"/>
      <c r="G45" s="32"/>
      <c r="H45" s="32"/>
      <c r="I45" s="32"/>
      <c r="J45" s="32"/>
      <c r="K45" s="94">
        <f>K29+K33</f>
        <v>52236</v>
      </c>
      <c r="L45" s="94">
        <f t="shared" ref="L45:U45" si="5">L29+L33</f>
        <v>46989</v>
      </c>
      <c r="M45" s="94">
        <f t="shared" si="5"/>
        <v>49733</v>
      </c>
      <c r="N45" s="94">
        <f t="shared" si="5"/>
        <v>43932</v>
      </c>
      <c r="O45" s="94">
        <f t="shared" si="5"/>
        <v>43822</v>
      </c>
      <c r="P45" s="94">
        <f t="shared" si="5"/>
        <v>-1283</v>
      </c>
      <c r="Q45" s="94">
        <f t="shared" si="5"/>
        <v>25809</v>
      </c>
      <c r="R45" s="94">
        <f t="shared" si="5"/>
        <v>7897</v>
      </c>
      <c r="S45" s="94">
        <f t="shared" si="5"/>
        <v>12572</v>
      </c>
      <c r="T45" s="94">
        <f t="shared" si="5"/>
        <v>-11085</v>
      </c>
      <c r="U45" s="94">
        <f t="shared" si="5"/>
        <v>-28305</v>
      </c>
      <c r="V45" s="94">
        <f>V29+V33</f>
        <v>-18220</v>
      </c>
    </row>
    <row r="46" spans="3:22" outlineLevel="1" x14ac:dyDescent="0.2">
      <c r="C46" s="18" t="s">
        <v>31</v>
      </c>
      <c r="K46" s="116"/>
      <c r="L46" s="116">
        <f>L45/K45-1</f>
        <v>-0.10044796691936597</v>
      </c>
      <c r="M46" s="116">
        <f t="shared" ref="M46:V46" si="6">M45/L45-1</f>
        <v>5.8396646023537446E-2</v>
      </c>
      <c r="N46" s="116">
        <f t="shared" si="6"/>
        <v>-0.11664287294150766</v>
      </c>
      <c r="O46" s="116">
        <f t="shared" si="6"/>
        <v>-2.5038696166803653E-3</v>
      </c>
      <c r="P46" s="116">
        <f t="shared" si="6"/>
        <v>-1.0292775318333258</v>
      </c>
      <c r="Q46" s="116">
        <f t="shared" si="6"/>
        <v>-21.116134060795012</v>
      </c>
      <c r="R46" s="116">
        <f t="shared" si="6"/>
        <v>-0.69402146538029363</v>
      </c>
      <c r="S46" s="116">
        <f t="shared" si="6"/>
        <v>0.591996960871217</v>
      </c>
      <c r="T46" s="116">
        <f t="shared" si="6"/>
        <v>-1.8817212853961185</v>
      </c>
      <c r="U46" s="116">
        <f t="shared" si="6"/>
        <v>1.5534506089309876</v>
      </c>
      <c r="V46" s="116">
        <f t="shared" si="6"/>
        <v>-0.35629747394453282</v>
      </c>
    </row>
    <row r="47" spans="3:22" outlineLevel="1" x14ac:dyDescent="0.2">
      <c r="C47" s="18" t="s">
        <v>59</v>
      </c>
      <c r="K47" s="116">
        <f>K45/K14</f>
        <v>0.1182915257921995</v>
      </c>
      <c r="L47" s="116">
        <f t="shared" ref="L47:V47" si="7">L45/L14</f>
        <v>0.10250251953457325</v>
      </c>
      <c r="M47" s="116">
        <f t="shared" si="7"/>
        <v>0.1096106884361418</v>
      </c>
      <c r="N47" s="116">
        <f t="shared" si="7"/>
        <v>0.10177313015155236</v>
      </c>
      <c r="O47" s="116">
        <f t="shared" si="7"/>
        <v>0.10704270765142114</v>
      </c>
      <c r="P47" s="116">
        <f t="shared" si="7"/>
        <v>-3.8633174544863264E-3</v>
      </c>
      <c r="Q47" s="116">
        <f t="shared" si="7"/>
        <v>6.8480320100190506E-2</v>
      </c>
      <c r="R47" s="116">
        <f t="shared" si="7"/>
        <v>2.1199715440061207E-2</v>
      </c>
      <c r="S47" s="116">
        <f t="shared" si="7"/>
        <v>3.5963361538769605E-2</v>
      </c>
      <c r="T47" s="116">
        <f t="shared" si="7"/>
        <v>-3.4191118637166992E-2</v>
      </c>
      <c r="U47" s="116">
        <f t="shared" si="7"/>
        <v>-9.1792656587473001E-2</v>
      </c>
      <c r="V47" s="116">
        <f t="shared" si="7"/>
        <v>-0.11952321912371507</v>
      </c>
    </row>
    <row r="48" spans="3:22" outlineLevel="1" x14ac:dyDescent="0.2">
      <c r="C48" s="18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</row>
    <row r="49" spans="3:22" outlineLevel="1" x14ac:dyDescent="0.2">
      <c r="C49" s="97" t="s">
        <v>60</v>
      </c>
      <c r="K49" s="47">
        <v>-11348</v>
      </c>
      <c r="L49" s="47">
        <v>-12730</v>
      </c>
      <c r="M49" s="47">
        <v>-14578</v>
      </c>
      <c r="N49" s="47">
        <v>-13976</v>
      </c>
      <c r="O49" s="47">
        <v>-15085</v>
      </c>
      <c r="P49" s="47">
        <v>-17412</v>
      </c>
      <c r="Q49" s="47">
        <v>-16773</v>
      </c>
      <c r="R49" s="47">
        <v>-16990</v>
      </c>
      <c r="S49" s="47">
        <v>-15408</v>
      </c>
      <c r="T49" s="47">
        <v>-16073</v>
      </c>
      <c r="U49" s="47">
        <v>-15261</v>
      </c>
      <c r="V49" s="47">
        <v>-7332</v>
      </c>
    </row>
    <row r="50" spans="3:22" outlineLevel="1" x14ac:dyDescent="0.2">
      <c r="C50" s="9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</row>
    <row r="51" spans="3:22" outlineLevel="1" x14ac:dyDescent="0.2">
      <c r="C51" s="99" t="s">
        <v>61</v>
      </c>
      <c r="D51" s="32"/>
      <c r="E51" s="32"/>
      <c r="F51" s="32"/>
      <c r="G51" s="32"/>
      <c r="H51" s="32"/>
      <c r="I51" s="32"/>
      <c r="J51" s="32"/>
      <c r="K51" s="94">
        <f>K45+K49</f>
        <v>40888</v>
      </c>
      <c r="L51" s="94">
        <f t="shared" ref="L51:U51" si="8">L45+L49</f>
        <v>34259</v>
      </c>
      <c r="M51" s="94">
        <f t="shared" si="8"/>
        <v>35155</v>
      </c>
      <c r="N51" s="94">
        <f t="shared" si="8"/>
        <v>29956</v>
      </c>
      <c r="O51" s="94">
        <f t="shared" si="8"/>
        <v>28737</v>
      </c>
      <c r="P51" s="94">
        <f t="shared" si="8"/>
        <v>-18695</v>
      </c>
      <c r="Q51" s="94">
        <f t="shared" si="8"/>
        <v>9036</v>
      </c>
      <c r="R51" s="94">
        <f t="shared" si="8"/>
        <v>-9093</v>
      </c>
      <c r="S51" s="94">
        <f t="shared" si="8"/>
        <v>-2836</v>
      </c>
      <c r="T51" s="94">
        <f t="shared" si="8"/>
        <v>-27158</v>
      </c>
      <c r="U51" s="94">
        <f t="shared" si="8"/>
        <v>-43566</v>
      </c>
      <c r="V51" s="94">
        <f>V45+V49</f>
        <v>-25552</v>
      </c>
    </row>
    <row r="52" spans="3:22" outlineLevel="1" x14ac:dyDescent="0.2">
      <c r="C52" s="18" t="s">
        <v>31</v>
      </c>
      <c r="K52" s="47"/>
      <c r="L52" s="95">
        <f>L51/K51-1</f>
        <v>-0.1621258070827627</v>
      </c>
      <c r="M52" s="95">
        <f t="shared" ref="M52:V52" si="9">M51/L51-1</f>
        <v>2.6153711433491988E-2</v>
      </c>
      <c r="N52" s="95">
        <f t="shared" si="9"/>
        <v>-0.1478879249039966</v>
      </c>
      <c r="O52" s="95">
        <f t="shared" si="9"/>
        <v>-4.0693016424088624E-2</v>
      </c>
      <c r="P52" s="95">
        <f t="shared" si="9"/>
        <v>-1.6505550335804016</v>
      </c>
      <c r="Q52" s="95">
        <f t="shared" si="9"/>
        <v>-1.4833377908531693</v>
      </c>
      <c r="R52" s="95">
        <f t="shared" si="9"/>
        <v>-2.0063081009296146</v>
      </c>
      <c r="S52" s="95">
        <f t="shared" si="9"/>
        <v>-0.68811173430111072</v>
      </c>
      <c r="T52" s="95">
        <f t="shared" si="9"/>
        <v>8.5761636107193233</v>
      </c>
      <c r="U52" s="95">
        <f t="shared" si="9"/>
        <v>0.60416820089844614</v>
      </c>
      <c r="V52" s="95">
        <f t="shared" si="9"/>
        <v>-0.41348758205940417</v>
      </c>
    </row>
    <row r="53" spans="3:22" outlineLevel="1" x14ac:dyDescent="0.2">
      <c r="C53" s="18" t="s">
        <v>62</v>
      </c>
      <c r="K53" s="116">
        <f>K51/K14</f>
        <v>9.2593305509446611E-2</v>
      </c>
      <c r="L53" s="116">
        <f t="shared" ref="L53:V53" si="10">L51/L14</f>
        <v>7.473310384845272E-2</v>
      </c>
      <c r="M53" s="116">
        <f t="shared" si="10"/>
        <v>7.7481023706041555E-2</v>
      </c>
      <c r="N53" s="116">
        <f t="shared" si="10"/>
        <v>6.9396246171808756E-2</v>
      </c>
      <c r="O53" s="116">
        <f t="shared" si="10"/>
        <v>7.0195022814542679E-2</v>
      </c>
      <c r="P53" s="116">
        <f t="shared" si="10"/>
        <v>-5.6293624171178384E-2</v>
      </c>
      <c r="Q53" s="116">
        <f t="shared" si="10"/>
        <v>2.3975674083665445E-2</v>
      </c>
      <c r="R53" s="116">
        <f t="shared" si="10"/>
        <v>-2.4410410598515456E-2</v>
      </c>
      <c r="S53" s="116">
        <f t="shared" si="10"/>
        <v>-8.1126386671930163E-3</v>
      </c>
      <c r="T53" s="116">
        <f t="shared" si="10"/>
        <v>-8.3767469548775939E-2</v>
      </c>
      <c r="U53" s="116">
        <f t="shared" si="10"/>
        <v>-0.14128383242854084</v>
      </c>
      <c r="V53" s="116">
        <f t="shared" si="10"/>
        <v>-0.1676211468193835</v>
      </c>
    </row>
    <row r="54" spans="3:22" outlineLevel="1" x14ac:dyDescent="0.2">
      <c r="C54" s="98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</row>
    <row r="55" spans="3:22" outlineLevel="1" x14ac:dyDescent="0.2">
      <c r="C55" s="33" t="s">
        <v>63</v>
      </c>
      <c r="D55" s="3"/>
      <c r="E55" s="3"/>
      <c r="F55" s="3"/>
      <c r="G55" s="3"/>
      <c r="H55" s="3"/>
      <c r="I55" s="3"/>
      <c r="J55" s="3"/>
      <c r="K55" s="96">
        <f>K56+K57</f>
        <v>-10022</v>
      </c>
      <c r="L55" s="96">
        <f t="shared" ref="L55:V55" si="11">L56+L57</f>
        <v>-10396</v>
      </c>
      <c r="M55" s="96">
        <f t="shared" si="11"/>
        <v>-10153</v>
      </c>
      <c r="N55" s="96">
        <f t="shared" si="11"/>
        <v>-9370</v>
      </c>
      <c r="O55" s="96">
        <f t="shared" si="11"/>
        <v>-8813</v>
      </c>
      <c r="P55" s="96">
        <f t="shared" si="11"/>
        <v>-7388</v>
      </c>
      <c r="Q55" s="96">
        <f t="shared" si="11"/>
        <v>-8241</v>
      </c>
      <c r="R55" s="96">
        <f t="shared" si="11"/>
        <v>-8121</v>
      </c>
      <c r="S55" s="96">
        <f t="shared" si="11"/>
        <v>-7626</v>
      </c>
      <c r="T55" s="96">
        <f t="shared" si="11"/>
        <v>-7110</v>
      </c>
      <c r="U55" s="96">
        <f t="shared" si="11"/>
        <v>-6716</v>
      </c>
      <c r="V55" s="96">
        <f t="shared" si="11"/>
        <v>-3411</v>
      </c>
    </row>
    <row r="56" spans="3:22" outlineLevel="1" x14ac:dyDescent="0.2">
      <c r="C56" s="98" t="s">
        <v>64</v>
      </c>
      <c r="K56" s="47">
        <v>-8822</v>
      </c>
      <c r="L56" s="47">
        <v>-9068</v>
      </c>
      <c r="M56" s="47">
        <v>-8741</v>
      </c>
      <c r="N56" s="47">
        <v>-7916</v>
      </c>
      <c r="O56" s="47">
        <v>-7304</v>
      </c>
      <c r="P56" s="47">
        <v>-5815</v>
      </c>
      <c r="Q56" s="47">
        <v>-6596</v>
      </c>
      <c r="R56" s="47">
        <v>-6311</v>
      </c>
      <c r="S56" s="47">
        <v>-5712</v>
      </c>
      <c r="T56" s="47">
        <v>-5107</v>
      </c>
      <c r="U56" s="47">
        <v>-4616</v>
      </c>
      <c r="V56" s="47">
        <v>-2314</v>
      </c>
    </row>
    <row r="57" spans="3:22" outlineLevel="1" x14ac:dyDescent="0.2">
      <c r="C57" s="98" t="s">
        <v>65</v>
      </c>
      <c r="K57" s="47">
        <v>-1200</v>
      </c>
      <c r="L57" s="47">
        <v>-1328</v>
      </c>
      <c r="M57" s="47">
        <v>-1412</v>
      </c>
      <c r="N57" s="47">
        <v>-1454</v>
      </c>
      <c r="O57" s="47">
        <v>-1509</v>
      </c>
      <c r="P57" s="47">
        <v>-1573</v>
      </c>
      <c r="Q57" s="47">
        <v>-1645</v>
      </c>
      <c r="R57" s="47">
        <v>-1810</v>
      </c>
      <c r="S57" s="47">
        <v>-1914</v>
      </c>
      <c r="T57" s="47">
        <v>-2003</v>
      </c>
      <c r="U57" s="47">
        <v>-2100</v>
      </c>
      <c r="V57" s="47">
        <v>-1097</v>
      </c>
    </row>
    <row r="58" spans="3:22" outlineLevel="1" x14ac:dyDescent="0.2">
      <c r="C58" s="98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</row>
    <row r="59" spans="3:22" outlineLevel="1" x14ac:dyDescent="0.2">
      <c r="C59" s="33" t="s">
        <v>66</v>
      </c>
      <c r="D59" s="3"/>
      <c r="E59" s="3"/>
      <c r="F59" s="3"/>
      <c r="G59" s="3"/>
      <c r="H59" s="3"/>
      <c r="I59" s="3"/>
      <c r="J59" s="3"/>
      <c r="K59" s="96">
        <f>K60</f>
        <v>5280</v>
      </c>
      <c r="L59" s="96">
        <f t="shared" ref="L59:V59" si="12">L60</f>
        <v>5040</v>
      </c>
      <c r="M59" s="96">
        <f t="shared" si="12"/>
        <v>4675</v>
      </c>
      <c r="N59" s="96">
        <f t="shared" si="12"/>
        <v>3025</v>
      </c>
      <c r="O59" s="96">
        <f t="shared" si="12"/>
        <v>2700</v>
      </c>
      <c r="P59" s="96">
        <f t="shared" si="12"/>
        <v>1300</v>
      </c>
      <c r="Q59" s="96">
        <f t="shared" si="12"/>
        <v>1593</v>
      </c>
      <c r="R59" s="96">
        <f t="shared" si="12"/>
        <v>5445</v>
      </c>
      <c r="S59" s="96">
        <f t="shared" si="12"/>
        <v>6000</v>
      </c>
      <c r="T59" s="96">
        <f t="shared" si="12"/>
        <v>4750</v>
      </c>
      <c r="U59" s="96">
        <f t="shared" si="12"/>
        <v>6000</v>
      </c>
      <c r="V59" s="96">
        <f t="shared" si="12"/>
        <v>3000</v>
      </c>
    </row>
    <row r="60" spans="3:22" outlineLevel="1" x14ac:dyDescent="0.2">
      <c r="C60" s="98" t="s">
        <v>67</v>
      </c>
      <c r="K60" s="47">
        <v>5280</v>
      </c>
      <c r="L60" s="47">
        <v>5040</v>
      </c>
      <c r="M60" s="47">
        <v>4675</v>
      </c>
      <c r="N60" s="47">
        <v>3025</v>
      </c>
      <c r="O60" s="47">
        <v>2700</v>
      </c>
      <c r="P60" s="47">
        <v>1300</v>
      </c>
      <c r="Q60" s="47">
        <v>1593</v>
      </c>
      <c r="R60" s="47">
        <v>5445</v>
      </c>
      <c r="S60" s="47">
        <v>6000</v>
      </c>
      <c r="T60" s="47">
        <v>4750</v>
      </c>
      <c r="U60" s="47">
        <v>6000</v>
      </c>
      <c r="V60" s="47">
        <v>3000</v>
      </c>
    </row>
    <row r="61" spans="3:22" outlineLevel="1" x14ac:dyDescent="0.2">
      <c r="C61" s="98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</row>
    <row r="62" spans="3:22" outlineLevel="1" x14ac:dyDescent="0.2">
      <c r="C62" s="17" t="s">
        <v>68</v>
      </c>
      <c r="D62" s="32"/>
      <c r="E62" s="32"/>
      <c r="F62" s="32"/>
      <c r="G62" s="32"/>
      <c r="H62" s="32"/>
      <c r="I62" s="32"/>
      <c r="J62" s="32"/>
      <c r="K62" s="94">
        <f>K51+K55+K59</f>
        <v>36146</v>
      </c>
      <c r="L62" s="94">
        <f t="shared" ref="L62:V62" si="13">L51+L55+L59</f>
        <v>28903</v>
      </c>
      <c r="M62" s="94">
        <f t="shared" si="13"/>
        <v>29677</v>
      </c>
      <c r="N62" s="94">
        <f t="shared" si="13"/>
        <v>23611</v>
      </c>
      <c r="O62" s="94">
        <f t="shared" si="13"/>
        <v>22624</v>
      </c>
      <c r="P62" s="94">
        <f t="shared" si="13"/>
        <v>-24783</v>
      </c>
      <c r="Q62" s="94">
        <f t="shared" si="13"/>
        <v>2388</v>
      </c>
      <c r="R62" s="94">
        <f t="shared" si="13"/>
        <v>-11769</v>
      </c>
      <c r="S62" s="94">
        <f t="shared" si="13"/>
        <v>-4462</v>
      </c>
      <c r="T62" s="94">
        <f t="shared" si="13"/>
        <v>-29518</v>
      </c>
      <c r="U62" s="94">
        <f t="shared" si="13"/>
        <v>-44282</v>
      </c>
      <c r="V62" s="94">
        <f t="shared" si="13"/>
        <v>-25963</v>
      </c>
    </row>
    <row r="63" spans="3:22" outlineLevel="1" x14ac:dyDescent="0.2">
      <c r="C63" s="18" t="s">
        <v>31</v>
      </c>
      <c r="K63" s="47"/>
      <c r="L63" s="95">
        <f>L62/K62-1</f>
        <v>-0.20038178498312398</v>
      </c>
      <c r="M63" s="95">
        <f>M62/L62-1</f>
        <v>2.6779227069854361E-2</v>
      </c>
      <c r="N63" s="95">
        <f t="shared" ref="N63:V63" si="14">N62/M62-1</f>
        <v>-0.20440071435792029</v>
      </c>
      <c r="O63" s="95">
        <f t="shared" si="14"/>
        <v>-4.1802549659057164E-2</v>
      </c>
      <c r="P63" s="95">
        <f t="shared" si="14"/>
        <v>-2.0954296322489392</v>
      </c>
      <c r="Q63" s="95">
        <f t="shared" si="14"/>
        <v>-1.0963563733204214</v>
      </c>
      <c r="R63" s="95">
        <f t="shared" si="14"/>
        <v>-5.9283919597989954</v>
      </c>
      <c r="S63" s="95">
        <f t="shared" si="14"/>
        <v>-0.62086838304019032</v>
      </c>
      <c r="T63" s="95">
        <f t="shared" si="14"/>
        <v>5.6154190945764233</v>
      </c>
      <c r="U63" s="95">
        <f t="shared" si="14"/>
        <v>0.50016938816993028</v>
      </c>
      <c r="V63" s="95">
        <f t="shared" si="14"/>
        <v>-0.41368953525134367</v>
      </c>
    </row>
    <row r="64" spans="3:22" outlineLevel="1" x14ac:dyDescent="0.2">
      <c r="C64" s="33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</row>
    <row r="65" spans="2:22" outlineLevel="1" x14ac:dyDescent="0.2">
      <c r="C65" s="19" t="s">
        <v>69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</row>
    <row r="66" spans="2:22" outlineLevel="1" x14ac:dyDescent="0.2">
      <c r="C66" s="18" t="s">
        <v>70</v>
      </c>
      <c r="K66" s="47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</row>
    <row r="67" spans="2:22" outlineLevel="1" x14ac:dyDescent="0.2">
      <c r="C67" s="19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</row>
    <row r="68" spans="2:22" outlineLevel="1" x14ac:dyDescent="0.2">
      <c r="C68" s="17" t="s">
        <v>71</v>
      </c>
      <c r="D68" s="32"/>
      <c r="E68" s="32"/>
      <c r="F68" s="32"/>
      <c r="G68" s="32"/>
      <c r="H68" s="32"/>
      <c r="I68" s="32"/>
      <c r="J68" s="32"/>
      <c r="K68" s="94">
        <f>K62-K65</f>
        <v>36146</v>
      </c>
      <c r="L68" s="94">
        <f t="shared" ref="L68:V68" si="15">L62-L65</f>
        <v>28903</v>
      </c>
      <c r="M68" s="94">
        <f t="shared" si="15"/>
        <v>29677</v>
      </c>
      <c r="N68" s="94">
        <f t="shared" si="15"/>
        <v>23611</v>
      </c>
      <c r="O68" s="94">
        <f t="shared" si="15"/>
        <v>22624</v>
      </c>
      <c r="P68" s="94">
        <f t="shared" si="15"/>
        <v>-24783</v>
      </c>
      <c r="Q68" s="94">
        <f t="shared" si="15"/>
        <v>2388</v>
      </c>
      <c r="R68" s="94">
        <f t="shared" si="15"/>
        <v>-11769</v>
      </c>
      <c r="S68" s="94">
        <f t="shared" si="15"/>
        <v>-4462</v>
      </c>
      <c r="T68" s="94">
        <f t="shared" si="15"/>
        <v>-29518</v>
      </c>
      <c r="U68" s="94">
        <f>U62-U65</f>
        <v>-44282</v>
      </c>
      <c r="V68" s="94">
        <f t="shared" si="15"/>
        <v>-25963</v>
      </c>
    </row>
    <row r="69" spans="2:22" outlineLevel="1" x14ac:dyDescent="0.2">
      <c r="C69" s="18" t="s">
        <v>31</v>
      </c>
      <c r="L69" s="95">
        <f>L68/K68-1</f>
        <v>-0.20038178498312398</v>
      </c>
      <c r="M69" s="95">
        <f>M68/L68-1</f>
        <v>2.6779227069854361E-2</v>
      </c>
      <c r="N69" s="95">
        <f t="shared" ref="N69:V69" si="16">N68/M68-1</f>
        <v>-0.20440071435792029</v>
      </c>
      <c r="O69" s="95">
        <f t="shared" si="16"/>
        <v>-4.1802549659057164E-2</v>
      </c>
      <c r="P69" s="95">
        <f t="shared" si="16"/>
        <v>-2.0954296322489392</v>
      </c>
      <c r="Q69" s="95">
        <f t="shared" si="16"/>
        <v>-1.0963563733204214</v>
      </c>
      <c r="R69" s="95">
        <f t="shared" si="16"/>
        <v>-5.9283919597989954</v>
      </c>
      <c r="S69" s="95">
        <f t="shared" si="16"/>
        <v>-0.62086838304019032</v>
      </c>
      <c r="T69" s="95">
        <f t="shared" si="16"/>
        <v>5.6154190945764233</v>
      </c>
      <c r="U69" s="95">
        <f t="shared" si="16"/>
        <v>0.50016938816993028</v>
      </c>
      <c r="V69" s="95">
        <f t="shared" si="16"/>
        <v>-0.41368953525134367</v>
      </c>
    </row>
    <row r="70" spans="2:22" outlineLevel="1" x14ac:dyDescent="0.2">
      <c r="C70" s="18" t="s">
        <v>72</v>
      </c>
      <c r="K70" s="116">
        <f>K68/K14</f>
        <v>8.1854764746244799E-2</v>
      </c>
      <c r="L70" s="116">
        <f t="shared" ref="L70:V70" si="17">L68/L14</f>
        <v>6.3049443957261711E-2</v>
      </c>
      <c r="M70" s="116">
        <f t="shared" si="17"/>
        <v>6.5407604623074822E-2</v>
      </c>
      <c r="N70" s="116">
        <f t="shared" si="17"/>
        <v>5.4697381772018182E-2</v>
      </c>
      <c r="O70" s="116">
        <f t="shared" si="17"/>
        <v>5.526297790848779E-2</v>
      </c>
      <c r="P70" s="116">
        <f t="shared" si="17"/>
        <v>-7.462556233400984E-2</v>
      </c>
      <c r="Q70" s="116">
        <f t="shared" si="17"/>
        <v>6.3362007206499643E-3</v>
      </c>
      <c r="R70" s="116">
        <f t="shared" si="17"/>
        <v>-3.1594206789170617E-2</v>
      </c>
      <c r="S70" s="116">
        <f t="shared" si="17"/>
        <v>-1.2763961118834708E-2</v>
      </c>
      <c r="T70" s="116">
        <f t="shared" si="17"/>
        <v>-9.1046769502200753E-2</v>
      </c>
      <c r="U70" s="116">
        <f t="shared" si="17"/>
        <v>-0.14360580883259069</v>
      </c>
      <c r="V70" s="116">
        <f t="shared" si="17"/>
        <v>-0.17031730725076916</v>
      </c>
    </row>
    <row r="71" spans="2:22" outlineLevel="1" x14ac:dyDescent="0.2"/>
    <row r="73" spans="2:22" x14ac:dyDescent="0.2">
      <c r="B73" s="10"/>
      <c r="C73" s="13" t="s">
        <v>73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2:22" ht="15.75" outlineLevel="1" thickBot="1" x14ac:dyDescent="0.25"/>
    <row r="75" spans="2:22" ht="15.75" outlineLevel="1" thickBot="1" x14ac:dyDescent="0.25">
      <c r="C75" s="21" t="s">
        <v>74</v>
      </c>
      <c r="D75" s="22"/>
      <c r="E75" s="22"/>
      <c r="F75" s="22"/>
      <c r="G75" s="22"/>
      <c r="H75" s="22"/>
      <c r="I75" s="22"/>
      <c r="J75" s="108">
        <f>J77+J90</f>
        <v>146035</v>
      </c>
      <c r="K75" s="108">
        <f t="shared" ref="K75:V75" si="18">K77+K90</f>
        <v>138606</v>
      </c>
      <c r="L75" s="108">
        <f t="shared" si="18"/>
        <v>181569</v>
      </c>
      <c r="M75" s="108">
        <f t="shared" si="18"/>
        <v>171500</v>
      </c>
      <c r="N75" s="108">
        <f t="shared" si="18"/>
        <v>175339</v>
      </c>
      <c r="O75" s="108">
        <f t="shared" si="18"/>
        <v>192024</v>
      </c>
      <c r="P75" s="108">
        <f t="shared" si="18"/>
        <v>166622</v>
      </c>
      <c r="Q75" s="108">
        <f t="shared" si="18"/>
        <v>174759</v>
      </c>
      <c r="R75" s="108">
        <f t="shared" si="18"/>
        <v>174967</v>
      </c>
      <c r="S75" s="108">
        <f t="shared" si="18"/>
        <v>171831</v>
      </c>
      <c r="T75" s="108">
        <f t="shared" si="18"/>
        <v>164067</v>
      </c>
      <c r="U75" s="108">
        <f t="shared" si="18"/>
        <v>152674</v>
      </c>
      <c r="V75" s="108">
        <f t="shared" si="18"/>
        <v>148926</v>
      </c>
    </row>
    <row r="76" spans="2:22" outlineLevel="1" x14ac:dyDescent="0.2">
      <c r="C76" s="33"/>
    </row>
    <row r="77" spans="2:22" outlineLevel="1" x14ac:dyDescent="0.2">
      <c r="C77" s="17" t="s">
        <v>75</v>
      </c>
      <c r="D77" s="20"/>
      <c r="E77" s="20"/>
      <c r="F77" s="20"/>
      <c r="G77" s="20"/>
      <c r="H77" s="20"/>
      <c r="I77" s="20"/>
      <c r="J77" s="94">
        <f>J79+J80+J81+J82+J83+J84+J85+J86+J87+J88</f>
        <v>79410</v>
      </c>
      <c r="K77" s="94">
        <f t="shared" ref="K77:V77" si="19">K79+K80+K81+K82+K83+K84+K85+K86+K87+K88</f>
        <v>80628</v>
      </c>
      <c r="L77" s="94">
        <f t="shared" si="19"/>
        <v>98821</v>
      </c>
      <c r="M77" s="94">
        <f t="shared" si="19"/>
        <v>101130</v>
      </c>
      <c r="N77" s="94">
        <f t="shared" si="19"/>
        <v>101147</v>
      </c>
      <c r="O77" s="94">
        <f t="shared" si="19"/>
        <v>98117</v>
      </c>
      <c r="P77" s="94">
        <f t="shared" si="19"/>
        <v>86226</v>
      </c>
      <c r="Q77" s="94">
        <f t="shared" si="19"/>
        <v>95635</v>
      </c>
      <c r="R77" s="94">
        <f t="shared" si="19"/>
        <v>98533</v>
      </c>
      <c r="S77" s="94">
        <f t="shared" si="19"/>
        <v>96905</v>
      </c>
      <c r="T77" s="94">
        <f t="shared" si="19"/>
        <v>96215</v>
      </c>
      <c r="U77" s="94">
        <f t="shared" si="19"/>
        <v>96182</v>
      </c>
      <c r="V77" s="94">
        <f t="shared" si="19"/>
        <v>99766</v>
      </c>
    </row>
    <row r="78" spans="2:22" outlineLevel="1" x14ac:dyDescent="0.2">
      <c r="C78" s="33"/>
    </row>
    <row r="79" spans="2:22" outlineLevel="1" x14ac:dyDescent="0.2">
      <c r="D79" s="102" t="s">
        <v>76</v>
      </c>
      <c r="J79" s="47">
        <v>3080</v>
      </c>
      <c r="K79" s="47">
        <v>2940</v>
      </c>
      <c r="L79" s="47">
        <v>3850</v>
      </c>
      <c r="M79" s="47">
        <v>3850</v>
      </c>
      <c r="N79" s="47">
        <v>3780</v>
      </c>
      <c r="O79" s="47">
        <v>3640</v>
      </c>
      <c r="P79" s="47">
        <v>3185</v>
      </c>
      <c r="Q79" s="47">
        <v>3465</v>
      </c>
      <c r="R79" s="47">
        <v>3500</v>
      </c>
      <c r="S79" s="47">
        <v>3500</v>
      </c>
      <c r="T79" s="47">
        <v>3500</v>
      </c>
      <c r="U79" s="47">
        <v>3500</v>
      </c>
      <c r="V79" s="47">
        <v>3570</v>
      </c>
    </row>
    <row r="80" spans="2:22" outlineLevel="1" x14ac:dyDescent="0.2">
      <c r="D80" s="102" t="s">
        <v>77</v>
      </c>
      <c r="J80" s="47">
        <v>6600</v>
      </c>
      <c r="K80" s="47">
        <v>6300</v>
      </c>
      <c r="L80" s="47">
        <v>8250</v>
      </c>
      <c r="M80" s="47">
        <v>8250</v>
      </c>
      <c r="N80" s="47">
        <v>8100</v>
      </c>
      <c r="O80" s="47">
        <v>7800</v>
      </c>
      <c r="P80" s="47">
        <v>6825</v>
      </c>
      <c r="Q80" s="47">
        <v>7425</v>
      </c>
      <c r="R80" s="47">
        <v>7500</v>
      </c>
      <c r="S80" s="47">
        <v>7500</v>
      </c>
      <c r="T80" s="47">
        <v>7500</v>
      </c>
      <c r="U80" s="47">
        <v>7500</v>
      </c>
      <c r="V80" s="47">
        <v>7650</v>
      </c>
    </row>
    <row r="81" spans="3:22" outlineLevel="1" x14ac:dyDescent="0.2">
      <c r="D81" s="102" t="s">
        <v>78</v>
      </c>
      <c r="J81" s="47">
        <v>34320</v>
      </c>
      <c r="K81" s="47">
        <v>32760</v>
      </c>
      <c r="L81" s="47">
        <v>42900</v>
      </c>
      <c r="M81" s="47">
        <v>42900</v>
      </c>
      <c r="N81" s="47">
        <v>42120</v>
      </c>
      <c r="O81" s="47">
        <v>40560</v>
      </c>
      <c r="P81" s="47">
        <v>35490</v>
      </c>
      <c r="Q81" s="47">
        <v>38610</v>
      </c>
      <c r="R81" s="47">
        <v>39000</v>
      </c>
      <c r="S81" s="47">
        <v>39000</v>
      </c>
      <c r="T81" s="47">
        <v>39000</v>
      </c>
      <c r="U81" s="47">
        <v>39000</v>
      </c>
      <c r="V81" s="47">
        <v>39780</v>
      </c>
    </row>
    <row r="82" spans="3:22" outlineLevel="1" x14ac:dyDescent="0.2">
      <c r="D82" s="102" t="s">
        <v>79</v>
      </c>
      <c r="J82" s="47">
        <v>16749</v>
      </c>
      <c r="K82" s="47">
        <v>17971</v>
      </c>
      <c r="L82" s="47">
        <v>20173</v>
      </c>
      <c r="M82" s="47">
        <v>21474</v>
      </c>
      <c r="N82" s="47">
        <v>21861</v>
      </c>
      <c r="O82" s="47">
        <v>21397</v>
      </c>
      <c r="P82" s="47">
        <v>18412</v>
      </c>
      <c r="Q82" s="47">
        <v>21543</v>
      </c>
      <c r="R82" s="47">
        <v>22576</v>
      </c>
      <c r="S82" s="47">
        <v>22356</v>
      </c>
      <c r="T82" s="47">
        <v>21279</v>
      </c>
      <c r="U82" s="47">
        <v>20789</v>
      </c>
      <c r="V82" s="47">
        <v>22736</v>
      </c>
    </row>
    <row r="83" spans="3:22" outlineLevel="1" x14ac:dyDescent="0.2">
      <c r="D83" s="102" t="s">
        <v>80</v>
      </c>
      <c r="J83" s="47">
        <v>11166</v>
      </c>
      <c r="K83" s="47">
        <v>11981</v>
      </c>
      <c r="L83" s="47">
        <v>13449</v>
      </c>
      <c r="M83" s="47">
        <v>14316</v>
      </c>
      <c r="N83" s="47">
        <v>14573</v>
      </c>
      <c r="O83" s="47">
        <v>14264</v>
      </c>
      <c r="P83" s="47">
        <v>12274</v>
      </c>
      <c r="Q83" s="47">
        <v>14362</v>
      </c>
      <c r="R83" s="47">
        <v>15050</v>
      </c>
      <c r="S83" s="47">
        <v>14904</v>
      </c>
      <c r="T83" s="47">
        <v>14185</v>
      </c>
      <c r="U83" s="47">
        <v>13859</v>
      </c>
      <c r="V83" s="47">
        <v>15157</v>
      </c>
    </row>
    <row r="84" spans="3:22" outlineLevel="1" x14ac:dyDescent="0.2">
      <c r="D84" s="102" t="s">
        <v>81</v>
      </c>
      <c r="J84" s="47">
        <v>-837</v>
      </c>
      <c r="K84" s="47">
        <v>-899</v>
      </c>
      <c r="L84" s="47">
        <v>-1344</v>
      </c>
      <c r="M84" s="47">
        <v>-1790</v>
      </c>
      <c r="N84" s="47">
        <v>-2186</v>
      </c>
      <c r="O84" s="47">
        <v>-2496</v>
      </c>
      <c r="P84" s="47">
        <v>-2762</v>
      </c>
      <c r="Q84" s="47">
        <v>-3591</v>
      </c>
      <c r="R84" s="47">
        <v>-4515</v>
      </c>
      <c r="S84" s="47">
        <v>-5216</v>
      </c>
      <c r="T84" s="47">
        <v>-5674</v>
      </c>
      <c r="U84" s="47">
        <v>-5891</v>
      </c>
      <c r="V84" s="47">
        <v>-6821</v>
      </c>
    </row>
    <row r="85" spans="3:22" outlineLevel="1" x14ac:dyDescent="0.2">
      <c r="D85" s="102" t="s">
        <v>82</v>
      </c>
      <c r="J85" s="47">
        <v>921</v>
      </c>
      <c r="K85" s="47">
        <v>1002</v>
      </c>
      <c r="L85" s="47">
        <v>1119</v>
      </c>
      <c r="M85" s="47">
        <v>1051</v>
      </c>
      <c r="N85" s="47">
        <v>1070</v>
      </c>
      <c r="O85" s="47">
        <v>970</v>
      </c>
      <c r="P85" s="47">
        <v>1016</v>
      </c>
      <c r="Q85" s="47">
        <v>904</v>
      </c>
      <c r="R85" s="47">
        <v>997</v>
      </c>
      <c r="S85" s="47">
        <v>887</v>
      </c>
      <c r="T85" s="47">
        <v>949</v>
      </c>
      <c r="U85" s="47">
        <v>1020</v>
      </c>
      <c r="V85" s="47">
        <v>548</v>
      </c>
    </row>
    <row r="86" spans="3:22" outlineLevel="1" x14ac:dyDescent="0.2">
      <c r="D86" s="102" t="s">
        <v>83</v>
      </c>
      <c r="J86" s="47">
        <v>172</v>
      </c>
      <c r="K86" s="47">
        <v>183</v>
      </c>
      <c r="L86" s="47">
        <v>404</v>
      </c>
      <c r="M86" s="47">
        <v>430</v>
      </c>
      <c r="N86" s="47">
        <v>444</v>
      </c>
      <c r="O86" s="47">
        <v>460</v>
      </c>
      <c r="P86" s="47">
        <v>480</v>
      </c>
      <c r="Q86" s="47">
        <v>502</v>
      </c>
      <c r="R86" s="47">
        <v>552</v>
      </c>
      <c r="S86" s="47">
        <v>584</v>
      </c>
      <c r="T86" s="47">
        <v>610</v>
      </c>
      <c r="U86" s="47">
        <v>640</v>
      </c>
      <c r="V86" s="47">
        <v>668</v>
      </c>
    </row>
    <row r="87" spans="3:22" outlineLevel="1" x14ac:dyDescent="0.2">
      <c r="D87" s="102" t="s">
        <v>84</v>
      </c>
      <c r="J87" s="47">
        <v>376</v>
      </c>
      <c r="K87" s="47">
        <v>400</v>
      </c>
      <c r="L87" s="47">
        <v>557</v>
      </c>
      <c r="M87" s="47">
        <v>592</v>
      </c>
      <c r="N87" s="47">
        <v>610</v>
      </c>
      <c r="O87" s="47">
        <v>632</v>
      </c>
      <c r="P87" s="47">
        <v>659</v>
      </c>
      <c r="Q87" s="47">
        <v>689</v>
      </c>
      <c r="R87" s="47">
        <v>758</v>
      </c>
      <c r="S87" s="47">
        <v>802</v>
      </c>
      <c r="T87" s="47">
        <v>840</v>
      </c>
      <c r="U87" s="47">
        <v>880</v>
      </c>
      <c r="V87" s="47">
        <v>554</v>
      </c>
    </row>
    <row r="88" spans="3:22" outlineLevel="1" x14ac:dyDescent="0.2">
      <c r="D88" s="102" t="s">
        <v>393</v>
      </c>
      <c r="J88" s="47">
        <v>6863</v>
      </c>
      <c r="K88" s="47">
        <v>7990</v>
      </c>
      <c r="L88" s="47">
        <v>9463</v>
      </c>
      <c r="M88" s="47">
        <v>10057</v>
      </c>
      <c r="N88" s="47">
        <v>10775</v>
      </c>
      <c r="O88" s="47">
        <v>10890</v>
      </c>
      <c r="P88" s="47">
        <v>10647</v>
      </c>
      <c r="Q88" s="47">
        <v>11726</v>
      </c>
      <c r="R88" s="47">
        <v>13115</v>
      </c>
      <c r="S88" s="47">
        <v>12588</v>
      </c>
      <c r="T88" s="47">
        <v>14026</v>
      </c>
      <c r="U88" s="47">
        <v>14885</v>
      </c>
      <c r="V88" s="47">
        <v>15924</v>
      </c>
    </row>
    <row r="89" spans="3:22" outlineLevel="1" x14ac:dyDescent="0.2">
      <c r="D89" s="103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</row>
    <row r="90" spans="3:22" outlineLevel="1" x14ac:dyDescent="0.2">
      <c r="C90" s="105" t="s">
        <v>85</v>
      </c>
      <c r="D90" s="32"/>
      <c r="E90" s="32"/>
      <c r="F90" s="32"/>
      <c r="G90" s="32"/>
      <c r="H90" s="32"/>
      <c r="I90" s="32"/>
      <c r="J90" s="94">
        <f>J92+J93+J94+J95+J96+J97+J98</f>
        <v>66625</v>
      </c>
      <c r="K90" s="94">
        <f t="shared" ref="K90:V90" si="20">K92+K93+K94+K95+K96+K97+K98</f>
        <v>57978</v>
      </c>
      <c r="L90" s="94">
        <f t="shared" si="20"/>
        <v>82748</v>
      </c>
      <c r="M90" s="94">
        <f t="shared" si="20"/>
        <v>70370</v>
      </c>
      <c r="N90" s="94">
        <f t="shared" si="20"/>
        <v>74192</v>
      </c>
      <c r="O90" s="94">
        <f t="shared" si="20"/>
        <v>93907</v>
      </c>
      <c r="P90" s="94">
        <f t="shared" si="20"/>
        <v>80396</v>
      </c>
      <c r="Q90" s="94">
        <f t="shared" si="20"/>
        <v>79124</v>
      </c>
      <c r="R90" s="94">
        <f t="shared" si="20"/>
        <v>76434</v>
      </c>
      <c r="S90" s="94">
        <f t="shared" si="20"/>
        <v>74926</v>
      </c>
      <c r="T90" s="94">
        <f t="shared" si="20"/>
        <v>67852</v>
      </c>
      <c r="U90" s="94">
        <f t="shared" si="20"/>
        <v>56492</v>
      </c>
      <c r="V90" s="94">
        <f t="shared" si="20"/>
        <v>49160</v>
      </c>
    </row>
    <row r="91" spans="3:22" outlineLevel="1" x14ac:dyDescent="0.2">
      <c r="D91" s="103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</row>
    <row r="92" spans="3:22" outlineLevel="1" x14ac:dyDescent="0.2">
      <c r="D92" s="102" t="s">
        <v>86</v>
      </c>
      <c r="J92" s="47">
        <v>77800</v>
      </c>
      <c r="K92" s="47">
        <v>77800</v>
      </c>
      <c r="L92" s="47">
        <v>77800</v>
      </c>
      <c r="M92" s="47">
        <v>77800</v>
      </c>
      <c r="N92" s="47">
        <v>83400</v>
      </c>
      <c r="O92" s="47">
        <v>101900</v>
      </c>
      <c r="P92" s="47">
        <v>101900</v>
      </c>
      <c r="Q92" s="47">
        <v>101900</v>
      </c>
      <c r="R92" s="47">
        <v>101900</v>
      </c>
      <c r="S92" s="47">
        <v>101900</v>
      </c>
      <c r="T92" s="47">
        <v>101900</v>
      </c>
      <c r="U92" s="47">
        <v>101900</v>
      </c>
      <c r="V92" s="47">
        <v>101900</v>
      </c>
    </row>
    <row r="93" spans="3:22" outlineLevel="1" x14ac:dyDescent="0.2">
      <c r="D93" s="102" t="s">
        <v>87</v>
      </c>
      <c r="J93" s="47">
        <v>40800</v>
      </c>
      <c r="K93" s="47">
        <v>40800</v>
      </c>
      <c r="L93" s="47">
        <v>46400</v>
      </c>
      <c r="M93" s="47">
        <v>46400</v>
      </c>
      <c r="N93" s="47">
        <v>56200</v>
      </c>
      <c r="O93" s="47">
        <v>67000</v>
      </c>
      <c r="P93" s="47">
        <v>67000</v>
      </c>
      <c r="Q93" s="47">
        <v>76600</v>
      </c>
      <c r="R93" s="47">
        <v>90900</v>
      </c>
      <c r="S93" s="47">
        <v>104800</v>
      </c>
      <c r="T93" s="47">
        <v>108100</v>
      </c>
      <c r="U93" s="47">
        <v>112000</v>
      </c>
      <c r="V93" s="47">
        <v>112000</v>
      </c>
    </row>
    <row r="94" spans="3:22" outlineLevel="1" x14ac:dyDescent="0.2">
      <c r="D94" s="102" t="s">
        <v>88</v>
      </c>
      <c r="J94" s="47">
        <v>23500</v>
      </c>
      <c r="K94" s="47">
        <v>23500</v>
      </c>
      <c r="L94" s="47">
        <v>51000</v>
      </c>
      <c r="M94" s="47">
        <v>51000</v>
      </c>
      <c r="N94" s="47">
        <v>51000</v>
      </c>
      <c r="O94" s="47">
        <v>51000</v>
      </c>
      <c r="P94" s="47">
        <v>51000</v>
      </c>
      <c r="Q94" s="47">
        <v>51000</v>
      </c>
      <c r="R94" s="47">
        <v>51000</v>
      </c>
      <c r="S94" s="47">
        <v>51000</v>
      </c>
      <c r="T94" s="47">
        <v>51000</v>
      </c>
      <c r="U94" s="47">
        <v>51000</v>
      </c>
      <c r="V94" s="47">
        <v>51000</v>
      </c>
    </row>
    <row r="95" spans="3:22" outlineLevel="1" x14ac:dyDescent="0.2">
      <c r="D95" s="102" t="s">
        <v>89</v>
      </c>
      <c r="J95" s="47">
        <v>9300</v>
      </c>
      <c r="K95" s="47">
        <v>12000</v>
      </c>
      <c r="L95" s="47">
        <v>16400</v>
      </c>
      <c r="M95" s="47">
        <v>18600</v>
      </c>
      <c r="N95" s="47">
        <v>21000</v>
      </c>
      <c r="O95" s="47">
        <v>22800</v>
      </c>
      <c r="P95" s="47">
        <v>22800</v>
      </c>
      <c r="Q95" s="47">
        <v>22800</v>
      </c>
      <c r="R95" s="47">
        <v>22800</v>
      </c>
      <c r="S95" s="47">
        <v>22800</v>
      </c>
      <c r="T95" s="47">
        <v>22800</v>
      </c>
      <c r="U95" s="47">
        <v>22800</v>
      </c>
      <c r="V95" s="47">
        <v>22800</v>
      </c>
    </row>
    <row r="96" spans="3:22" outlineLevel="1" x14ac:dyDescent="0.2">
      <c r="D96" s="102" t="s">
        <v>90</v>
      </c>
      <c r="J96" s="47">
        <v>3200</v>
      </c>
      <c r="K96" s="47">
        <v>3200</v>
      </c>
      <c r="L96" s="47">
        <v>3200</v>
      </c>
      <c r="M96" s="47">
        <v>3200</v>
      </c>
      <c r="N96" s="47">
        <v>3200</v>
      </c>
      <c r="O96" s="47">
        <v>6900</v>
      </c>
      <c r="P96" s="47">
        <v>10800</v>
      </c>
      <c r="Q96" s="47">
        <v>10800</v>
      </c>
      <c r="R96" s="47">
        <v>10800</v>
      </c>
      <c r="S96" s="47">
        <v>10800</v>
      </c>
      <c r="T96" s="47">
        <v>16500</v>
      </c>
      <c r="U96" s="47">
        <v>16500</v>
      </c>
      <c r="V96" s="47">
        <v>16500</v>
      </c>
    </row>
    <row r="97" spans="3:22" outlineLevel="1" x14ac:dyDescent="0.2">
      <c r="D97" s="102" t="s">
        <v>91</v>
      </c>
      <c r="J97" s="47">
        <v>0</v>
      </c>
      <c r="K97" s="47">
        <v>0</v>
      </c>
      <c r="L97" s="47">
        <v>0</v>
      </c>
      <c r="M97" s="47">
        <v>0</v>
      </c>
      <c r="N97" s="47">
        <v>0</v>
      </c>
      <c r="O97" s="47">
        <v>0</v>
      </c>
      <c r="P97" s="47">
        <v>0</v>
      </c>
      <c r="Q97" s="47">
        <v>5900</v>
      </c>
      <c r="R97" s="47">
        <v>5900</v>
      </c>
      <c r="S97" s="47">
        <v>5900</v>
      </c>
      <c r="T97" s="47">
        <v>5900</v>
      </c>
      <c r="U97" s="47">
        <v>5900</v>
      </c>
      <c r="V97" s="47">
        <v>5900</v>
      </c>
    </row>
    <row r="98" spans="3:22" outlineLevel="1" x14ac:dyDescent="0.2">
      <c r="D98" s="102" t="s">
        <v>92</v>
      </c>
      <c r="J98" s="47">
        <v>-87975</v>
      </c>
      <c r="K98" s="47">
        <v>-99322</v>
      </c>
      <c r="L98" s="47">
        <v>-112052</v>
      </c>
      <c r="M98" s="47">
        <v>-126630</v>
      </c>
      <c r="N98" s="47">
        <v>-140608</v>
      </c>
      <c r="O98" s="47">
        <v>-155693</v>
      </c>
      <c r="P98" s="47">
        <v>-173104</v>
      </c>
      <c r="Q98" s="47">
        <v>-189876</v>
      </c>
      <c r="R98" s="47">
        <v>-206866</v>
      </c>
      <c r="S98" s="47">
        <v>-222274</v>
      </c>
      <c r="T98" s="47">
        <v>-238348</v>
      </c>
      <c r="U98" s="47">
        <v>-253608</v>
      </c>
      <c r="V98" s="47">
        <v>-260940</v>
      </c>
    </row>
    <row r="99" spans="3:22" ht="15.75" outlineLevel="1" thickBot="1" x14ac:dyDescent="0.25">
      <c r="D99" s="103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</row>
    <row r="100" spans="3:22" ht="15.75" outlineLevel="1" thickBot="1" x14ac:dyDescent="0.25">
      <c r="C100" s="107" t="s">
        <v>93</v>
      </c>
      <c r="D100" s="107"/>
      <c r="E100" s="107"/>
      <c r="F100" s="107"/>
      <c r="G100" s="107"/>
      <c r="H100" s="107"/>
      <c r="I100" s="107"/>
      <c r="J100" s="108">
        <f>J102+J112+J116</f>
        <v>146035</v>
      </c>
      <c r="K100" s="108">
        <f t="shared" ref="K100:V100" si="21">K102+K112+K116</f>
        <v>138606</v>
      </c>
      <c r="L100" s="108">
        <f t="shared" si="21"/>
        <v>181569</v>
      </c>
      <c r="M100" s="108">
        <f t="shared" si="21"/>
        <v>171500</v>
      </c>
      <c r="N100" s="108">
        <f t="shared" si="21"/>
        <v>175339</v>
      </c>
      <c r="O100" s="108">
        <f t="shared" si="21"/>
        <v>192024</v>
      </c>
      <c r="P100" s="108">
        <f t="shared" si="21"/>
        <v>166622</v>
      </c>
      <c r="Q100" s="108">
        <f t="shared" si="21"/>
        <v>174759</v>
      </c>
      <c r="R100" s="108">
        <f t="shared" si="21"/>
        <v>174967</v>
      </c>
      <c r="S100" s="108">
        <f t="shared" si="21"/>
        <v>171831</v>
      </c>
      <c r="T100" s="108">
        <f t="shared" si="21"/>
        <v>164067</v>
      </c>
      <c r="U100" s="108">
        <f t="shared" si="21"/>
        <v>152674</v>
      </c>
      <c r="V100" s="108">
        <f t="shared" si="21"/>
        <v>148926</v>
      </c>
    </row>
    <row r="101" spans="3:22" outlineLevel="1" x14ac:dyDescent="0.2">
      <c r="C101" s="3"/>
      <c r="D101" s="103"/>
      <c r="E101" s="3"/>
      <c r="F101" s="3"/>
      <c r="G101" s="3"/>
      <c r="H101" s="3"/>
      <c r="I101" s="3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</row>
    <row r="102" spans="3:22" outlineLevel="1" x14ac:dyDescent="0.2">
      <c r="C102" s="32" t="s">
        <v>94</v>
      </c>
      <c r="D102" s="106"/>
      <c r="E102" s="32"/>
      <c r="F102" s="32"/>
      <c r="G102" s="32"/>
      <c r="H102" s="32"/>
      <c r="I102" s="32"/>
      <c r="J102" s="94">
        <f>J104+J105+J106+J107+J108+J109+J110</f>
        <v>40282</v>
      </c>
      <c r="K102" s="94">
        <f t="shared" ref="K102:V102" si="22">K104+K105+K106+K107+K108+K109+K110</f>
        <v>44046</v>
      </c>
      <c r="L102" s="94">
        <f t="shared" si="22"/>
        <v>49760</v>
      </c>
      <c r="M102" s="94">
        <f t="shared" si="22"/>
        <v>52252</v>
      </c>
      <c r="N102" s="94">
        <f t="shared" si="22"/>
        <v>58003</v>
      </c>
      <c r="O102" s="94">
        <f t="shared" si="22"/>
        <v>62249</v>
      </c>
      <c r="P102" s="94">
        <f t="shared" si="22"/>
        <v>68782</v>
      </c>
      <c r="Q102" s="94">
        <f t="shared" si="22"/>
        <v>74905</v>
      </c>
      <c r="R102" s="94">
        <f t="shared" si="22"/>
        <v>86123</v>
      </c>
      <c r="S102" s="94">
        <f t="shared" si="22"/>
        <v>83979</v>
      </c>
      <c r="T102" s="94">
        <f t="shared" si="22"/>
        <v>90521</v>
      </c>
      <c r="U102" s="94">
        <f t="shared" si="22"/>
        <v>97982</v>
      </c>
      <c r="V102" s="94">
        <f t="shared" si="22"/>
        <v>113065</v>
      </c>
    </row>
    <row r="103" spans="3:22" outlineLevel="1" x14ac:dyDescent="0.2">
      <c r="C103" s="3"/>
      <c r="D103" s="103"/>
      <c r="E103" s="3"/>
      <c r="F103" s="3"/>
      <c r="G103" s="3"/>
      <c r="H103" s="3"/>
      <c r="I103" s="3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</row>
    <row r="104" spans="3:22" outlineLevel="1" x14ac:dyDescent="0.2">
      <c r="D104" s="102" t="s">
        <v>95</v>
      </c>
      <c r="J104" s="47">
        <v>11633</v>
      </c>
      <c r="K104" s="47">
        <v>13312</v>
      </c>
      <c r="L104" s="47">
        <v>16404</v>
      </c>
      <c r="M104" s="47">
        <v>20708</v>
      </c>
      <c r="N104" s="47">
        <v>26474</v>
      </c>
      <c r="O104" s="47">
        <v>33279</v>
      </c>
      <c r="P104" s="47">
        <v>39757</v>
      </c>
      <c r="Q104" s="47">
        <v>47908</v>
      </c>
      <c r="R104" s="47">
        <v>56945</v>
      </c>
      <c r="S104" s="47">
        <v>57439</v>
      </c>
      <c r="T104" s="47">
        <v>62774</v>
      </c>
      <c r="U104" s="47">
        <v>68675</v>
      </c>
      <c r="V104" s="47">
        <v>77365</v>
      </c>
    </row>
    <row r="105" spans="3:22" outlineLevel="1" x14ac:dyDescent="0.2">
      <c r="D105" s="102" t="s">
        <v>96</v>
      </c>
      <c r="J105" s="47">
        <v>7674</v>
      </c>
      <c r="K105" s="47">
        <v>8353</v>
      </c>
      <c r="L105" s="47">
        <v>9328</v>
      </c>
      <c r="M105" s="47">
        <v>8761</v>
      </c>
      <c r="N105" s="47">
        <v>8920</v>
      </c>
      <c r="O105" s="47">
        <v>8084</v>
      </c>
      <c r="P105" s="47">
        <v>8465</v>
      </c>
      <c r="Q105" s="47">
        <v>7535</v>
      </c>
      <c r="R105" s="47">
        <v>8302</v>
      </c>
      <c r="S105" s="47">
        <v>7392</v>
      </c>
      <c r="T105" s="47">
        <v>7907</v>
      </c>
      <c r="U105" s="47">
        <v>8501</v>
      </c>
      <c r="V105" s="47">
        <v>9128</v>
      </c>
    </row>
    <row r="106" spans="3:22" outlineLevel="1" x14ac:dyDescent="0.2">
      <c r="D106" s="102" t="s">
        <v>97</v>
      </c>
      <c r="J106" s="47">
        <v>12433</v>
      </c>
      <c r="K106" s="47">
        <v>13532</v>
      </c>
      <c r="L106" s="47">
        <v>15111</v>
      </c>
      <c r="M106" s="47">
        <v>14193</v>
      </c>
      <c r="N106" s="47">
        <v>14451</v>
      </c>
      <c r="O106" s="47">
        <v>13096</v>
      </c>
      <c r="P106" s="47">
        <v>13712</v>
      </c>
      <c r="Q106" s="47">
        <v>12207</v>
      </c>
      <c r="R106" s="47">
        <v>13450</v>
      </c>
      <c r="S106" s="47">
        <v>11975</v>
      </c>
      <c r="T106" s="47">
        <v>12810</v>
      </c>
      <c r="U106" s="47">
        <v>13771</v>
      </c>
      <c r="V106" s="47">
        <v>14788</v>
      </c>
    </row>
    <row r="107" spans="3:22" outlineLevel="1" x14ac:dyDescent="0.2">
      <c r="D107" s="102" t="s">
        <v>98</v>
      </c>
      <c r="J107" s="47">
        <v>0</v>
      </c>
      <c r="K107" s="47">
        <v>0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  <c r="Q107" s="47">
        <v>0</v>
      </c>
      <c r="R107" s="47">
        <v>0</v>
      </c>
      <c r="S107" s="47">
        <v>0</v>
      </c>
      <c r="T107" s="47">
        <v>0</v>
      </c>
      <c r="U107" s="47">
        <v>0</v>
      </c>
      <c r="V107" s="47">
        <v>4565</v>
      </c>
    </row>
    <row r="108" spans="3:22" outlineLevel="1" x14ac:dyDescent="0.2">
      <c r="D108" s="102" t="s">
        <v>99</v>
      </c>
      <c r="J108" s="47">
        <v>614</v>
      </c>
      <c r="K108" s="47">
        <v>668</v>
      </c>
      <c r="L108" s="47">
        <v>746</v>
      </c>
      <c r="M108" s="47">
        <v>700</v>
      </c>
      <c r="N108" s="47">
        <v>714</v>
      </c>
      <c r="O108" s="47">
        <v>647</v>
      </c>
      <c r="P108" s="47">
        <v>677</v>
      </c>
      <c r="Q108" s="47">
        <v>603</v>
      </c>
      <c r="R108" s="47">
        <v>664</v>
      </c>
      <c r="S108" s="47">
        <v>591</v>
      </c>
      <c r="T108" s="47">
        <v>632</v>
      </c>
      <c r="U108" s="47">
        <v>680</v>
      </c>
      <c r="V108" s="47">
        <v>730</v>
      </c>
    </row>
    <row r="109" spans="3:22" outlineLevel="1" x14ac:dyDescent="0.2">
      <c r="D109" s="102" t="s">
        <v>100</v>
      </c>
      <c r="J109" s="47">
        <v>3914</v>
      </c>
      <c r="K109" s="47">
        <v>4044</v>
      </c>
      <c r="L109" s="47">
        <v>3826</v>
      </c>
      <c r="M109" s="47">
        <v>3486</v>
      </c>
      <c r="N109" s="47">
        <v>3064</v>
      </c>
      <c r="O109" s="47">
        <v>2776</v>
      </c>
      <c r="P109" s="47">
        <v>2021</v>
      </c>
      <c r="Q109" s="47">
        <v>2255</v>
      </c>
      <c r="R109" s="47">
        <v>2158</v>
      </c>
      <c r="S109" s="47">
        <v>1918</v>
      </c>
      <c r="T109" s="47">
        <v>1738</v>
      </c>
      <c r="U109" s="47">
        <v>1658</v>
      </c>
      <c r="V109" s="47">
        <v>1660</v>
      </c>
    </row>
    <row r="110" spans="3:22" outlineLevel="1" x14ac:dyDescent="0.2">
      <c r="D110" s="102" t="s">
        <v>101</v>
      </c>
      <c r="J110" s="47">
        <v>4014</v>
      </c>
      <c r="K110" s="47">
        <v>4137</v>
      </c>
      <c r="L110" s="47">
        <v>4345</v>
      </c>
      <c r="M110" s="47">
        <v>4404</v>
      </c>
      <c r="N110" s="47">
        <v>4380</v>
      </c>
      <c r="O110" s="47">
        <v>4367</v>
      </c>
      <c r="P110" s="47">
        <v>4150</v>
      </c>
      <c r="Q110" s="47">
        <v>4397</v>
      </c>
      <c r="R110" s="47">
        <v>4604</v>
      </c>
      <c r="S110" s="47">
        <v>4664</v>
      </c>
      <c r="T110" s="47">
        <v>4660</v>
      </c>
      <c r="U110" s="47">
        <v>4697</v>
      </c>
      <c r="V110" s="47">
        <v>4829</v>
      </c>
    </row>
    <row r="111" spans="3:22" outlineLevel="1" x14ac:dyDescent="0.2">
      <c r="D111" s="103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</row>
    <row r="112" spans="3:22" outlineLevel="1" x14ac:dyDescent="0.2">
      <c r="C112" s="32" t="s">
        <v>102</v>
      </c>
      <c r="D112" s="105"/>
      <c r="E112" s="32"/>
      <c r="F112" s="32"/>
      <c r="G112" s="32"/>
      <c r="H112" s="32"/>
      <c r="I112" s="32"/>
      <c r="J112" s="94">
        <f>J114</f>
        <v>0</v>
      </c>
      <c r="K112" s="94">
        <f t="shared" ref="K112:V112" si="23">K114</f>
        <v>0</v>
      </c>
      <c r="L112" s="94">
        <f t="shared" si="23"/>
        <v>0</v>
      </c>
      <c r="M112" s="94">
        <f t="shared" si="23"/>
        <v>0</v>
      </c>
      <c r="N112" s="94">
        <f t="shared" si="23"/>
        <v>0</v>
      </c>
      <c r="O112" s="94">
        <f t="shared" si="23"/>
        <v>0</v>
      </c>
      <c r="P112" s="94">
        <f t="shared" si="23"/>
        <v>0</v>
      </c>
      <c r="Q112" s="94">
        <f t="shared" si="23"/>
        <v>0</v>
      </c>
      <c r="R112" s="94">
        <f t="shared" si="23"/>
        <v>0</v>
      </c>
      <c r="S112" s="94">
        <f t="shared" si="23"/>
        <v>0</v>
      </c>
      <c r="T112" s="94">
        <f t="shared" si="23"/>
        <v>0</v>
      </c>
      <c r="U112" s="94">
        <f t="shared" si="23"/>
        <v>0</v>
      </c>
      <c r="V112" s="94">
        <f t="shared" si="23"/>
        <v>0</v>
      </c>
    </row>
    <row r="113" spans="3:22" outlineLevel="1" x14ac:dyDescent="0.2">
      <c r="D113" s="103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</row>
    <row r="114" spans="3:22" outlineLevel="1" x14ac:dyDescent="0.2">
      <c r="D114" s="102" t="s">
        <v>103</v>
      </c>
      <c r="J114" s="47">
        <v>0</v>
      </c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  <c r="Q114" s="47">
        <v>0</v>
      </c>
      <c r="R114" s="47">
        <v>0</v>
      </c>
      <c r="S114" s="47">
        <v>0</v>
      </c>
      <c r="T114" s="47">
        <v>0</v>
      </c>
      <c r="U114" s="47">
        <v>0</v>
      </c>
      <c r="V114" s="47">
        <v>0</v>
      </c>
    </row>
    <row r="115" spans="3:22" outlineLevel="1" x14ac:dyDescent="0.2">
      <c r="D115" s="103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</row>
    <row r="116" spans="3:22" outlineLevel="1" x14ac:dyDescent="0.2">
      <c r="C116" s="32" t="s">
        <v>104</v>
      </c>
      <c r="D116" s="105"/>
      <c r="E116" s="32"/>
      <c r="F116" s="32"/>
      <c r="G116" s="32"/>
      <c r="H116" s="32"/>
      <c r="I116" s="32"/>
      <c r="J116" s="94">
        <f>J118+J119+J121+J120</f>
        <v>105753</v>
      </c>
      <c r="K116" s="94">
        <f t="shared" ref="K116:V116" si="24">K118+K119+K121+K120</f>
        <v>94560</v>
      </c>
      <c r="L116" s="94">
        <f t="shared" si="24"/>
        <v>131809</v>
      </c>
      <c r="M116" s="94">
        <f t="shared" si="24"/>
        <v>119248</v>
      </c>
      <c r="N116" s="94">
        <f t="shared" si="24"/>
        <v>117336</v>
      </c>
      <c r="O116" s="94">
        <f t="shared" si="24"/>
        <v>129775</v>
      </c>
      <c r="P116" s="94">
        <f t="shared" si="24"/>
        <v>97840</v>
      </c>
      <c r="Q116" s="94">
        <f t="shared" si="24"/>
        <v>99854</v>
      </c>
      <c r="R116" s="94">
        <f t="shared" si="24"/>
        <v>88844</v>
      </c>
      <c r="S116" s="94">
        <f t="shared" si="24"/>
        <v>87852</v>
      </c>
      <c r="T116" s="94">
        <f t="shared" si="24"/>
        <v>73546</v>
      </c>
      <c r="U116" s="94">
        <f t="shared" si="24"/>
        <v>54692</v>
      </c>
      <c r="V116" s="94">
        <f t="shared" si="24"/>
        <v>35861</v>
      </c>
    </row>
    <row r="117" spans="3:22" outlineLevel="1" x14ac:dyDescent="0.2">
      <c r="D117" s="103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</row>
    <row r="118" spans="3:22" outlineLevel="1" x14ac:dyDescent="0.2">
      <c r="D118" s="102" t="s">
        <v>105</v>
      </c>
      <c r="J118" s="47">
        <v>30000</v>
      </c>
      <c r="K118" s="47">
        <v>30000</v>
      </c>
      <c r="L118" s="47">
        <v>50000</v>
      </c>
      <c r="M118" s="47">
        <v>50000</v>
      </c>
      <c r="N118" s="47">
        <v>50000</v>
      </c>
      <c r="O118" s="47">
        <v>50000</v>
      </c>
      <c r="P118" s="47">
        <v>50000</v>
      </c>
      <c r="Q118" s="47">
        <v>50000</v>
      </c>
      <c r="R118" s="47">
        <v>50000</v>
      </c>
      <c r="S118" s="47">
        <v>50000</v>
      </c>
      <c r="T118" s="47">
        <v>50000</v>
      </c>
      <c r="U118" s="47">
        <v>50000</v>
      </c>
      <c r="V118" s="47">
        <v>50000</v>
      </c>
    </row>
    <row r="119" spans="3:22" outlineLevel="1" x14ac:dyDescent="0.2">
      <c r="D119" s="102" t="s">
        <v>106</v>
      </c>
      <c r="J119" s="47">
        <f>J75-J102-J112-J118-J120-J121</f>
        <v>36505</v>
      </c>
      <c r="K119" s="47">
        <f>J119+J120+J121</f>
        <v>75753</v>
      </c>
      <c r="L119" s="47">
        <f t="shared" ref="L119:V119" si="25">K119+K120+K121</f>
        <v>64560</v>
      </c>
      <c r="M119" s="47">
        <f t="shared" si="25"/>
        <v>81809</v>
      </c>
      <c r="N119" s="47">
        <f t="shared" si="25"/>
        <v>69248</v>
      </c>
      <c r="O119" s="47">
        <f t="shared" si="25"/>
        <v>67336</v>
      </c>
      <c r="P119" s="47">
        <f t="shared" si="25"/>
        <v>79775</v>
      </c>
      <c r="Q119" s="47">
        <f t="shared" si="25"/>
        <v>47840</v>
      </c>
      <c r="R119" s="47">
        <f t="shared" si="25"/>
        <v>49854</v>
      </c>
      <c r="S119" s="47">
        <f t="shared" si="25"/>
        <v>38844</v>
      </c>
      <c r="T119" s="47">
        <f t="shared" si="25"/>
        <v>37852</v>
      </c>
      <c r="U119" s="47">
        <f t="shared" si="25"/>
        <v>23546</v>
      </c>
      <c r="V119" s="47">
        <f t="shared" si="25"/>
        <v>4692</v>
      </c>
    </row>
    <row r="120" spans="3:22" outlineLevel="1" x14ac:dyDescent="0.2">
      <c r="D120" s="102" t="s">
        <v>107</v>
      </c>
      <c r="J120" s="47">
        <v>0</v>
      </c>
      <c r="K120" s="47">
        <f>K75-K102-K112-K118-K119-K121</f>
        <v>-47339</v>
      </c>
      <c r="L120" s="47">
        <f t="shared" ref="L120:V120" si="26">L75-L102-L112-L118-L119-L121</f>
        <v>-11654</v>
      </c>
      <c r="M120" s="47">
        <f t="shared" si="26"/>
        <v>-42238</v>
      </c>
      <c r="N120" s="47">
        <f t="shared" si="26"/>
        <v>-25523</v>
      </c>
      <c r="O120" s="47">
        <f t="shared" si="26"/>
        <v>-10185</v>
      </c>
      <c r="P120" s="47">
        <f t="shared" si="26"/>
        <v>-7152</v>
      </c>
      <c r="Q120" s="47">
        <f t="shared" si="26"/>
        <v>-374</v>
      </c>
      <c r="R120" s="47">
        <f t="shared" si="26"/>
        <v>759</v>
      </c>
      <c r="S120" s="47">
        <f t="shared" si="26"/>
        <v>3470</v>
      </c>
      <c r="T120" s="47">
        <f t="shared" si="26"/>
        <v>15212</v>
      </c>
      <c r="U120" s="47">
        <f t="shared" si="26"/>
        <v>25428</v>
      </c>
      <c r="V120" s="47">
        <f t="shared" si="26"/>
        <v>7132</v>
      </c>
    </row>
    <row r="121" spans="3:22" outlineLevel="1" x14ac:dyDescent="0.2">
      <c r="D121" s="102" t="s">
        <v>108</v>
      </c>
      <c r="J121" s="47">
        <v>39248</v>
      </c>
      <c r="K121" s="47">
        <f t="shared" ref="K121:V121" si="27">K68</f>
        <v>36146</v>
      </c>
      <c r="L121" s="47">
        <f t="shared" si="27"/>
        <v>28903</v>
      </c>
      <c r="M121" s="47">
        <f t="shared" si="27"/>
        <v>29677</v>
      </c>
      <c r="N121" s="47">
        <f t="shared" si="27"/>
        <v>23611</v>
      </c>
      <c r="O121" s="47">
        <f t="shared" si="27"/>
        <v>22624</v>
      </c>
      <c r="P121" s="47">
        <f t="shared" si="27"/>
        <v>-24783</v>
      </c>
      <c r="Q121" s="47">
        <f t="shared" si="27"/>
        <v>2388</v>
      </c>
      <c r="R121" s="47">
        <f t="shared" si="27"/>
        <v>-11769</v>
      </c>
      <c r="S121" s="47">
        <f t="shared" si="27"/>
        <v>-4462</v>
      </c>
      <c r="T121" s="47">
        <f t="shared" si="27"/>
        <v>-29518</v>
      </c>
      <c r="U121" s="47">
        <f t="shared" si="27"/>
        <v>-44282</v>
      </c>
      <c r="V121" s="47">
        <f t="shared" si="27"/>
        <v>-25963</v>
      </c>
    </row>
    <row r="122" spans="3:22" outlineLevel="1" x14ac:dyDescent="0.2">
      <c r="D122" s="104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</row>
    <row r="123" spans="3:22" outlineLevel="1" x14ac:dyDescent="0.2"/>
    <row r="124" spans="3:22" outlineLevel="1" x14ac:dyDescent="0.2"/>
    <row r="125" spans="3:22" outlineLevel="1" x14ac:dyDescent="0.2">
      <c r="E125" s="118" t="s">
        <v>109</v>
      </c>
      <c r="F125" s="118"/>
      <c r="G125" s="118"/>
      <c r="H125" s="118"/>
      <c r="I125" s="118"/>
      <c r="J125" s="119" t="str">
        <f>IF(J100=J75,"ok","não bate")</f>
        <v>ok</v>
      </c>
      <c r="K125" s="119" t="str">
        <f t="shared" ref="K125:V125" si="28">IF(K100=K75,"ok","não bate")</f>
        <v>ok</v>
      </c>
      <c r="L125" s="119" t="str">
        <f t="shared" si="28"/>
        <v>ok</v>
      </c>
      <c r="M125" s="119" t="str">
        <f t="shared" si="28"/>
        <v>ok</v>
      </c>
      <c r="N125" s="119" t="str">
        <f t="shared" si="28"/>
        <v>ok</v>
      </c>
      <c r="O125" s="119" t="str">
        <f t="shared" si="28"/>
        <v>ok</v>
      </c>
      <c r="P125" s="119" t="str">
        <f t="shared" si="28"/>
        <v>ok</v>
      </c>
      <c r="Q125" s="119" t="str">
        <f t="shared" si="28"/>
        <v>ok</v>
      </c>
      <c r="R125" s="119" t="str">
        <f t="shared" si="28"/>
        <v>ok</v>
      </c>
      <c r="S125" s="119" t="str">
        <f t="shared" si="28"/>
        <v>ok</v>
      </c>
      <c r="T125" s="119" t="str">
        <f t="shared" si="28"/>
        <v>ok</v>
      </c>
      <c r="U125" s="119" t="str">
        <f t="shared" si="28"/>
        <v>ok</v>
      </c>
      <c r="V125" s="119" t="str">
        <f t="shared" si="28"/>
        <v>ok</v>
      </c>
    </row>
    <row r="129" spans="12:12" ht="21" x14ac:dyDescent="0.3">
      <c r="L129" s="10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BA5C-03BD-4A23-B601-F1845E5AE89D}">
  <dimension ref="B1:AJ1230"/>
  <sheetViews>
    <sheetView showGridLines="0" zoomScale="70" zoomScaleNormal="70" workbookViewId="0">
      <pane xSplit="9" ySplit="5" topLeftCell="J156" activePane="bottomRight" state="frozen"/>
      <selection pane="bottomLeft" activeCell="A4" sqref="A4"/>
      <selection pane="topRight" activeCell="E1" sqref="E1"/>
      <selection pane="bottomRight" activeCell="L170" sqref="L170"/>
    </sheetView>
  </sheetViews>
  <sheetFormatPr defaultColWidth="8.7421875" defaultRowHeight="15" x14ac:dyDescent="0.2"/>
  <cols>
    <col min="1" max="4" width="1.4765625" style="1" customWidth="1"/>
    <col min="5" max="5" width="37.39453125" style="1" customWidth="1"/>
    <col min="6" max="7" width="8.7421875" style="1" customWidth="1"/>
    <col min="8" max="8" width="12.64453125" style="1" customWidth="1"/>
    <col min="9" max="9" width="13.71875" style="1" customWidth="1"/>
    <col min="10" max="10" width="12.375" style="40" customWidth="1"/>
    <col min="11" max="23" width="16.27734375" style="1" customWidth="1"/>
    <col min="24" max="16384" width="8.7421875" style="1"/>
  </cols>
  <sheetData>
    <row r="1" spans="2:36" s="10" customFormat="1" ht="6.4" customHeight="1" x14ac:dyDescent="0.2">
      <c r="J1" s="38"/>
    </row>
    <row r="2" spans="2:36" s="11" customFormat="1" ht="6.4" customHeight="1" x14ac:dyDescent="0.2">
      <c r="J2" s="39"/>
    </row>
    <row r="4" spans="2:36" ht="15.75" thickBot="1" x14ac:dyDescent="0.25">
      <c r="E4" s="3" t="s">
        <v>9</v>
      </c>
    </row>
    <row r="5" spans="2:36" ht="15.75" thickBot="1" x14ac:dyDescent="0.25">
      <c r="K5" s="229" t="s">
        <v>28</v>
      </c>
      <c r="L5" s="24" t="s">
        <v>110</v>
      </c>
      <c r="M5" s="24" t="s">
        <v>111</v>
      </c>
      <c r="N5" s="24" t="s">
        <v>10</v>
      </c>
      <c r="O5" s="24" t="s">
        <v>11</v>
      </c>
      <c r="P5" s="24" t="s">
        <v>12</v>
      </c>
      <c r="Q5" s="24" t="s">
        <v>13</v>
      </c>
      <c r="R5" s="24" t="s">
        <v>14</v>
      </c>
      <c r="S5" s="24" t="s">
        <v>15</v>
      </c>
      <c r="T5" s="24" t="s">
        <v>16</v>
      </c>
      <c r="U5" s="24" t="s">
        <v>17</v>
      </c>
      <c r="V5" s="24" t="s">
        <v>18</v>
      </c>
      <c r="W5" s="25" t="s">
        <v>19</v>
      </c>
    </row>
    <row r="6" spans="2:36" x14ac:dyDescent="0.2">
      <c r="K6" s="47"/>
      <c r="L6" s="50"/>
      <c r="M6" s="50"/>
      <c r="N6" s="50"/>
      <c r="O6" s="50"/>
      <c r="P6" s="50"/>
      <c r="Q6" s="50"/>
      <c r="R6" s="50"/>
      <c r="S6" s="50"/>
    </row>
    <row r="7" spans="2:36" x14ac:dyDescent="0.2">
      <c r="B7" s="10"/>
      <c r="C7" s="13" t="s">
        <v>112</v>
      </c>
      <c r="D7" s="13"/>
      <c r="E7" s="11"/>
      <c r="F7" s="11"/>
      <c r="G7" s="11"/>
      <c r="H7" s="11"/>
      <c r="I7" s="11"/>
      <c r="J7" s="39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2:36" x14ac:dyDescent="0.2">
      <c r="D8" s="16"/>
      <c r="K8" s="47"/>
      <c r="L8" s="47"/>
      <c r="M8" s="47"/>
      <c r="N8" s="47"/>
      <c r="O8" s="47"/>
      <c r="P8" s="47"/>
      <c r="Q8" s="47"/>
      <c r="R8" s="47"/>
      <c r="S8" s="47"/>
    </row>
    <row r="9" spans="2:36" x14ac:dyDescent="0.2">
      <c r="C9" s="10"/>
      <c r="D9" s="13" t="s">
        <v>113</v>
      </c>
      <c r="E9" s="11"/>
      <c r="F9" s="11"/>
      <c r="G9" s="11"/>
      <c r="H9" s="11"/>
      <c r="I9" s="11"/>
      <c r="J9" s="39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</row>
    <row r="10" spans="2:36" x14ac:dyDescent="0.2">
      <c r="K10" s="47"/>
      <c r="L10" s="50"/>
      <c r="M10" s="50"/>
      <c r="N10" s="50"/>
      <c r="O10" s="50"/>
      <c r="P10" s="50"/>
      <c r="Q10" s="50"/>
      <c r="R10" s="50"/>
      <c r="S10" s="50"/>
    </row>
    <row r="11" spans="2:36" x14ac:dyDescent="0.2">
      <c r="D11" s="32" t="s">
        <v>372</v>
      </c>
      <c r="E11" s="32"/>
      <c r="F11" s="32"/>
      <c r="G11" s="32"/>
      <c r="H11" s="32"/>
      <c r="I11" s="32"/>
      <c r="J11" s="156"/>
      <c r="K11" s="94">
        <f>K14*$J$14+K15*$J$15+K16*$J$16+K17*$J$17</f>
        <v>0</v>
      </c>
      <c r="L11" s="174">
        <f t="shared" ref="L11:W11" si="0">L14*$J$14+L15*$J$15+L16*$J$16+L17*$J$17</f>
        <v>225</v>
      </c>
      <c r="M11" s="174">
        <f t="shared" si="0"/>
        <v>225</v>
      </c>
      <c r="N11" s="174">
        <f>N14*$J$14+N15*$J$15+N16*$J$16+N17*$J$17</f>
        <v>239.16740834180598</v>
      </c>
      <c r="O11" s="174">
        <f t="shared" si="0"/>
        <v>252.91953432145996</v>
      </c>
      <c r="P11" s="174">
        <f t="shared" si="0"/>
        <v>267.33465744108685</v>
      </c>
      <c r="Q11" s="174">
        <f t="shared" si="0"/>
        <v>282.57136903592391</v>
      </c>
      <c r="R11" s="174">
        <f t="shared" si="0"/>
        <v>298.67649545750436</v>
      </c>
      <c r="S11" s="174">
        <f t="shared" si="0"/>
        <v>315.69953192050212</v>
      </c>
      <c r="T11" s="174">
        <f>T14*$J$14+T15*$J$15+T16*$J$16+T17*$J$17</f>
        <v>333.69279461431415</v>
      </c>
      <c r="U11" s="174">
        <f t="shared" si="0"/>
        <v>352.71158148422808</v>
      </c>
      <c r="V11" s="174">
        <f t="shared" si="0"/>
        <v>372.81434217629555</v>
      </c>
      <c r="W11" s="174">
        <f t="shared" si="0"/>
        <v>394.06285766819701</v>
      </c>
      <c r="Z11" s="1">
        <v>2026</v>
      </c>
      <c r="AA11" s="1">
        <v>2027</v>
      </c>
      <c r="AB11" s="1">
        <v>2028</v>
      </c>
      <c r="AC11" s="1">
        <v>2029</v>
      </c>
      <c r="AD11" s="1">
        <v>2030</v>
      </c>
      <c r="AE11" s="1">
        <v>2031</v>
      </c>
      <c r="AF11" s="1">
        <v>2032</v>
      </c>
      <c r="AG11" s="1">
        <v>2033</v>
      </c>
      <c r="AH11" s="1">
        <v>2034</v>
      </c>
      <c r="AI11" s="1">
        <v>2035</v>
      </c>
      <c r="AJ11" s="1">
        <v>2036</v>
      </c>
    </row>
    <row r="12" spans="2:36" x14ac:dyDescent="0.2">
      <c r="D12" s="3"/>
      <c r="E12" s="3"/>
      <c r="K12" s="47"/>
      <c r="L12" s="47"/>
      <c r="M12" s="47"/>
      <c r="N12" s="47"/>
      <c r="O12" s="47"/>
      <c r="P12" s="47"/>
      <c r="Q12" s="47"/>
      <c r="R12" s="47"/>
      <c r="S12" s="47"/>
    </row>
    <row r="13" spans="2:36" x14ac:dyDescent="0.2">
      <c r="D13" s="1" t="s">
        <v>308</v>
      </c>
      <c r="J13" s="42">
        <v>1.7500000000000002E-2</v>
      </c>
      <c r="K13" s="47"/>
      <c r="L13" s="50"/>
      <c r="M13" s="50"/>
      <c r="N13" s="50"/>
      <c r="O13" s="50"/>
      <c r="P13" s="50"/>
      <c r="Q13" s="50"/>
      <c r="R13" s="50"/>
      <c r="S13" s="50"/>
    </row>
    <row r="14" spans="2:36" x14ac:dyDescent="0.2">
      <c r="D14" s="1" t="s">
        <v>114</v>
      </c>
      <c r="J14" s="109">
        <v>0.45</v>
      </c>
      <c r="K14" s="47">
        <v>0</v>
      </c>
      <c r="L14" s="50">
        <v>80</v>
      </c>
      <c r="M14" s="50">
        <f>L14</f>
        <v>80</v>
      </c>
      <c r="N14" s="50">
        <f>M14*(1+'Macro - Itaú'!J8+$J$13)</f>
        <v>85.037300743753235</v>
      </c>
      <c r="O14" s="50">
        <f>N14*(1+'Macro - Itaú'!K8+$J$13)</f>
        <v>89.926945536519099</v>
      </c>
      <c r="P14" s="50">
        <f>O14*(1+'Macro - Itaú'!L8+$J$13)</f>
        <v>95.052322645719784</v>
      </c>
      <c r="Q14" s="50">
        <f>P14*(1+'Macro - Itaú'!M8+$J$13)</f>
        <v>100.46982010166182</v>
      </c>
      <c r="R14" s="50">
        <f>Q14*(1+'Macro - Itaú'!N8+$J$13)</f>
        <v>106.19608727377934</v>
      </c>
      <c r="S14" s="50">
        <f>R14*(1+'Macro - Itaú'!O8+$J$13)</f>
        <v>112.24872246062299</v>
      </c>
      <c r="T14" s="50">
        <f>S14*(1+'Macro - Itaú'!P8+$J$13)</f>
        <v>118.64632697397838</v>
      </c>
      <c r="U14" s="50">
        <f>T14*(1+'Macro - Itaú'!Q8+$J$13)</f>
        <v>125.40856230550332</v>
      </c>
      <c r="V14" s="50">
        <f>U14*(1+'Macro - Itaú'!R8+$J$13)</f>
        <v>132.55621055157178</v>
      </c>
      <c r="W14" s="50">
        <f>V14*(1+'Macro - Itaú'!S8+$J$13)</f>
        <v>140.1112382820256</v>
      </c>
    </row>
    <row r="15" spans="2:36" x14ac:dyDescent="0.2">
      <c r="D15" s="1" t="s">
        <v>115</v>
      </c>
      <c r="J15" s="109">
        <v>0.25</v>
      </c>
      <c r="K15" s="47">
        <v>0</v>
      </c>
      <c r="L15" s="50">
        <v>70</v>
      </c>
      <c r="M15" s="50">
        <f t="shared" ref="M15:M16" si="1">L15</f>
        <v>70</v>
      </c>
      <c r="N15" s="50">
        <f>M15*(1+'Macro - Itaú'!J8+$J$13)</f>
        <v>74.407638150784081</v>
      </c>
      <c r="O15" s="50">
        <f>N15*(1+'Macro - Itaú'!K8+$J$13)</f>
        <v>78.686077344454205</v>
      </c>
      <c r="P15" s="50">
        <f>O15*(1+'Macro - Itaú'!L8+$J$13)</f>
        <v>83.170782315004814</v>
      </c>
      <c r="Q15" s="50">
        <f>P15*(1+'Macro - Itaú'!M8+$J$13)</f>
        <v>87.911092588954105</v>
      </c>
      <c r="R15" s="50">
        <f>Q15*(1+'Macro - Itaú'!N8+$J$13)</f>
        <v>92.921576364556927</v>
      </c>
      <c r="S15" s="50">
        <f>R15*(1+'Macro - Itaú'!O8+$J$13)</f>
        <v>98.217632153045116</v>
      </c>
      <c r="T15" s="50">
        <f>S15*(1+'Macro - Itaú'!P8+$J$13)</f>
        <v>103.81553610223108</v>
      </c>
      <c r="U15" s="50">
        <f>T15*(1+'Macro - Itaú'!Q8+$J$13)</f>
        <v>109.73249201731541</v>
      </c>
      <c r="V15" s="50">
        <f>U15*(1+'Macro - Itaú'!R8+$J$13)</f>
        <v>115.98668423262532</v>
      </c>
      <c r="W15" s="50">
        <f>V15*(1+'Macro - Itaú'!S8+$J$13)</f>
        <v>122.59733349677242</v>
      </c>
    </row>
    <row r="16" spans="2:36" x14ac:dyDescent="0.2">
      <c r="D16" s="1" t="s">
        <v>116</v>
      </c>
      <c r="J16" s="109">
        <v>0.2</v>
      </c>
      <c r="K16" s="47">
        <v>0</v>
      </c>
      <c r="L16" s="50">
        <v>320</v>
      </c>
      <c r="M16" s="50">
        <f t="shared" si="1"/>
        <v>320</v>
      </c>
      <c r="N16" s="50">
        <f>M16*(1+'Macro - Itaú'!J8+$J$13)</f>
        <v>340.14920297501294</v>
      </c>
      <c r="O16" s="50">
        <f>N16*(1+'Macro - Itaú'!K8+$J$13)</f>
        <v>359.7077821460764</v>
      </c>
      <c r="P16" s="50">
        <f>O16*(1+'Macro - Itaú'!L8+$J$13)</f>
        <v>380.20929058287913</v>
      </c>
      <c r="Q16" s="50">
        <f>P16*(1+'Macro - Itaú'!M8+$J$13)</f>
        <v>401.8792804066473</v>
      </c>
      <c r="R16" s="50">
        <f>Q16*(1+'Macro - Itaú'!N8+$J$13)</f>
        <v>424.78434909511736</v>
      </c>
      <c r="S16" s="50">
        <f>R16*(1+'Macro - Itaú'!O8+$J$13)</f>
        <v>448.99488984249194</v>
      </c>
      <c r="T16" s="50">
        <f>S16*(1+'Macro - Itaú'!P8+$J$13)</f>
        <v>474.5853078959135</v>
      </c>
      <c r="U16" s="50">
        <f>T16*(1+'Macro - Itaú'!Q8+$J$13)</f>
        <v>501.6342492220133</v>
      </c>
      <c r="V16" s="50">
        <f>U16*(1+'Macro - Itaú'!R8+$J$13)</f>
        <v>530.22484220628712</v>
      </c>
      <c r="W16" s="50">
        <f>V16*(1+'Macro - Itaú'!S8+$J$13)</f>
        <v>560.44495312810238</v>
      </c>
    </row>
    <row r="17" spans="4:26" x14ac:dyDescent="0.2">
      <c r="D17" s="1" t="s">
        <v>117</v>
      </c>
      <c r="J17" s="109">
        <v>0.1</v>
      </c>
      <c r="K17" s="47">
        <v>0</v>
      </c>
      <c r="L17" s="50">
        <v>1075</v>
      </c>
      <c r="M17" s="50">
        <f>L17</f>
        <v>1075</v>
      </c>
      <c r="N17" s="50">
        <f>M17*(1+'Macro - Itaú'!J8+$J$13)</f>
        <v>1142.6887287441839</v>
      </c>
      <c r="O17" s="50">
        <f>N17*(1+'Macro - Itaú'!K8+$J$13)</f>
        <v>1208.3933306469751</v>
      </c>
      <c r="P17" s="50">
        <f>O17*(1+'Macro - Itaú'!L8+$J$13)</f>
        <v>1277.2655855518594</v>
      </c>
      <c r="Q17" s="50">
        <f>P17*(1+'Macro - Itaú'!M8+$J$13)</f>
        <v>1350.0632076160805</v>
      </c>
      <c r="R17" s="50">
        <f>Q17*(1+'Macro - Itaú'!N8+$J$13)</f>
        <v>1427.0099227414096</v>
      </c>
      <c r="S17" s="50">
        <f>R17*(1+'Macro - Itaú'!O8+$J$13)</f>
        <v>1508.342208064621</v>
      </c>
      <c r="T17" s="50">
        <f>S17*(1+'Macro - Itaú'!P8+$J$13)</f>
        <v>1594.3100187128339</v>
      </c>
      <c r="U17" s="50">
        <f>T17*(1+'Macro - Itaú'!Q8+$J$13)</f>
        <v>1685.1775559802004</v>
      </c>
      <c r="V17" s="50">
        <f>U17*(1+'Macro - Itaú'!R8+$J$13)</f>
        <v>1781.2240792867453</v>
      </c>
      <c r="W17" s="50">
        <f>V17*(1+'Macro - Itaú'!S8+$J$13)</f>
        <v>1882.7447644147187</v>
      </c>
    </row>
    <row r="18" spans="4:26" x14ac:dyDescent="0.2">
      <c r="D18" s="1" t="s">
        <v>387</v>
      </c>
      <c r="K18" s="213">
        <v>0.5</v>
      </c>
      <c r="L18" s="213">
        <v>0.5</v>
      </c>
      <c r="M18" s="213">
        <v>1</v>
      </c>
      <c r="N18" s="213">
        <v>1</v>
      </c>
      <c r="O18" s="213">
        <v>1</v>
      </c>
      <c r="P18" s="213">
        <v>1</v>
      </c>
      <c r="Q18" s="213">
        <v>1</v>
      </c>
      <c r="R18" s="213">
        <v>1</v>
      </c>
      <c r="S18" s="213">
        <v>1</v>
      </c>
      <c r="T18" s="213">
        <v>1</v>
      </c>
      <c r="U18" s="213">
        <v>1</v>
      </c>
      <c r="V18" s="213">
        <v>1</v>
      </c>
      <c r="W18" s="213">
        <v>1</v>
      </c>
      <c r="X18" s="213"/>
      <c r="Y18" s="213"/>
      <c r="Z18" s="213"/>
    </row>
    <row r="19" spans="4:26" x14ac:dyDescent="0.2">
      <c r="D19" s="35"/>
      <c r="E19" s="16"/>
      <c r="K19" s="47"/>
      <c r="L19" s="47"/>
      <c r="M19" s="47"/>
      <c r="N19" s="47"/>
      <c r="O19" s="47"/>
      <c r="P19" s="47"/>
      <c r="Q19" s="47"/>
      <c r="R19" s="47"/>
      <c r="S19" s="47"/>
    </row>
    <row r="20" spans="4:26" x14ac:dyDescent="0.2">
      <c r="D20" s="32" t="s">
        <v>385</v>
      </c>
      <c r="E20" s="32"/>
      <c r="F20" s="32"/>
      <c r="G20" s="32"/>
      <c r="H20" s="32"/>
      <c r="I20" s="32"/>
      <c r="J20" s="156"/>
      <c r="K20" s="94">
        <f>K50</f>
        <v>674</v>
      </c>
      <c r="L20" s="94">
        <f>L50</f>
        <v>863</v>
      </c>
      <c r="M20" s="94">
        <f t="shared" ref="M20:W20" si="2">M50</f>
        <v>1537</v>
      </c>
      <c r="N20" s="94">
        <f t="shared" si="2"/>
        <v>2426</v>
      </c>
      <c r="O20" s="94">
        <f t="shared" si="2"/>
        <v>3010</v>
      </c>
      <c r="P20" s="94">
        <f t="shared" si="2"/>
        <v>3503</v>
      </c>
      <c r="Q20" s="94">
        <f t="shared" si="2"/>
        <v>3906</v>
      </c>
      <c r="R20" s="94">
        <f t="shared" si="2"/>
        <v>4246</v>
      </c>
      <c r="S20" s="94">
        <f>S50</f>
        <v>4516</v>
      </c>
      <c r="T20" s="94">
        <f t="shared" si="2"/>
        <v>4743</v>
      </c>
      <c r="U20" s="94">
        <f t="shared" si="2"/>
        <v>4934</v>
      </c>
      <c r="V20" s="94">
        <f t="shared" si="2"/>
        <v>5096</v>
      </c>
      <c r="W20" s="94">
        <f t="shared" si="2"/>
        <v>5235</v>
      </c>
    </row>
    <row r="21" spans="4:26" x14ac:dyDescent="0.2">
      <c r="K21" s="47"/>
      <c r="L21" s="47"/>
      <c r="M21" s="47"/>
      <c r="N21" s="47"/>
      <c r="O21" s="47"/>
      <c r="P21" s="47"/>
      <c r="Q21" s="47"/>
      <c r="R21" s="47"/>
      <c r="S21" s="47"/>
    </row>
    <row r="22" spans="4:26" x14ac:dyDescent="0.2">
      <c r="L22" s="2" t="s">
        <v>347</v>
      </c>
      <c r="M22" s="2" t="s">
        <v>348</v>
      </c>
      <c r="N22" s="2" t="s">
        <v>353</v>
      </c>
      <c r="O22" s="47"/>
      <c r="P22" s="47"/>
      <c r="Q22" s="47"/>
      <c r="R22" s="47"/>
      <c r="S22" s="47"/>
    </row>
    <row r="23" spans="4:26" x14ac:dyDescent="0.2">
      <c r="D23" s="1" t="s">
        <v>118</v>
      </c>
      <c r="J23" s="148">
        <v>0.78559999999999997</v>
      </c>
      <c r="K23" s="1" t="s">
        <v>349</v>
      </c>
      <c r="L23" s="157">
        <v>0.93</v>
      </c>
      <c r="M23" s="157">
        <f>$J$23/SUM($J$23:$J$25)</f>
        <v>0.86367634124890058</v>
      </c>
      <c r="N23" s="155">
        <v>5.04</v>
      </c>
      <c r="O23" s="47"/>
      <c r="P23" s="47"/>
      <c r="Q23" s="47"/>
      <c r="R23" s="47"/>
      <c r="S23" s="47"/>
    </row>
    <row r="24" spans="4:26" x14ac:dyDescent="0.2">
      <c r="D24" s="1" t="s">
        <v>119</v>
      </c>
      <c r="J24" s="148">
        <v>7.1199999999999999E-2</v>
      </c>
      <c r="K24" s="1" t="s">
        <v>350</v>
      </c>
      <c r="L24" s="157">
        <v>4.4999999999999998E-2</v>
      </c>
      <c r="M24" s="157">
        <f>$J$24/SUM($J$23:$J$25)</f>
        <v>7.827616534740546E-2</v>
      </c>
      <c r="N24" s="155">
        <v>1.79</v>
      </c>
      <c r="O24" s="47"/>
      <c r="P24" s="47"/>
      <c r="Q24" s="47"/>
      <c r="R24" s="47"/>
      <c r="S24" s="47"/>
    </row>
    <row r="25" spans="4:26" x14ac:dyDescent="0.2">
      <c r="D25" s="1" t="s">
        <v>120</v>
      </c>
      <c r="J25" s="148">
        <v>5.28E-2</v>
      </c>
      <c r="K25" s="1" t="s">
        <v>351</v>
      </c>
      <c r="L25" s="157">
        <v>2.5000000000000001E-2</v>
      </c>
      <c r="M25" s="157">
        <f>$J$25/SUM($J$23:$J$25)</f>
        <v>5.8047493403693931E-2</v>
      </c>
      <c r="N25" s="155">
        <v>3.48</v>
      </c>
      <c r="O25" s="47"/>
      <c r="P25" s="47"/>
      <c r="Q25" s="47"/>
      <c r="R25" s="47"/>
      <c r="S25" s="47"/>
    </row>
    <row r="26" spans="4:26" x14ac:dyDescent="0.2">
      <c r="J26" s="149"/>
      <c r="N26" s="47"/>
      <c r="O26" s="47"/>
      <c r="P26" s="47"/>
      <c r="Q26" s="47"/>
      <c r="R26" s="47"/>
      <c r="S26" s="47"/>
    </row>
    <row r="27" spans="4:26" x14ac:dyDescent="0.2">
      <c r="D27" s="1" t="s">
        <v>338</v>
      </c>
      <c r="F27" s="145"/>
      <c r="G27" s="145"/>
      <c r="H27" s="145"/>
      <c r="J27" s="150">
        <v>4.7</v>
      </c>
      <c r="K27" s="126"/>
      <c r="L27" s="47"/>
      <c r="M27" s="47"/>
      <c r="N27" s="47"/>
      <c r="O27" s="47"/>
      <c r="P27" s="47"/>
      <c r="Q27" s="47"/>
      <c r="R27" s="47"/>
      <c r="S27" s="47"/>
    </row>
    <row r="28" spans="4:26" x14ac:dyDescent="0.2">
      <c r="D28" s="1" t="s">
        <v>339</v>
      </c>
      <c r="G28" s="145"/>
      <c r="H28" s="145"/>
      <c r="J28" s="150">
        <v>24</v>
      </c>
      <c r="K28" s="47"/>
      <c r="L28" s="47"/>
      <c r="M28" s="47"/>
      <c r="N28" s="47"/>
      <c r="O28" s="47"/>
      <c r="P28" s="47"/>
      <c r="Q28" s="47"/>
      <c r="R28" s="47"/>
      <c r="S28" s="47"/>
    </row>
    <row r="29" spans="4:26" x14ac:dyDescent="0.2">
      <c r="D29" s="1" t="s">
        <v>340</v>
      </c>
      <c r="G29" s="145"/>
      <c r="J29" s="148">
        <v>0.8</v>
      </c>
      <c r="K29" s="47"/>
      <c r="L29" s="47"/>
      <c r="M29" s="47"/>
      <c r="N29" s="47"/>
      <c r="O29" s="47"/>
      <c r="P29" s="47"/>
      <c r="Q29" s="47"/>
      <c r="R29" s="47"/>
      <c r="S29" s="47"/>
    </row>
    <row r="30" spans="4:26" x14ac:dyDescent="0.2">
      <c r="D30" s="1" t="s">
        <v>341</v>
      </c>
      <c r="J30" s="148">
        <v>0.2</v>
      </c>
      <c r="K30" s="47"/>
      <c r="L30" s="47"/>
      <c r="M30" s="47"/>
      <c r="N30" s="47"/>
      <c r="O30" s="47"/>
      <c r="P30" s="47"/>
      <c r="Q30" s="47"/>
      <c r="R30" s="47"/>
      <c r="S30" s="47"/>
    </row>
    <row r="31" spans="4:26" x14ac:dyDescent="0.2">
      <c r="D31" s="1" t="s">
        <v>386</v>
      </c>
      <c r="J31" s="222">
        <f>$J$27+($J$28-$J$27)*$J$29</f>
        <v>20.14</v>
      </c>
      <c r="K31" s="120"/>
      <c r="L31" s="121"/>
      <c r="M31" s="86"/>
      <c r="N31" s="86"/>
      <c r="O31" s="86"/>
      <c r="P31" s="86"/>
      <c r="Q31" s="86"/>
      <c r="R31" s="86"/>
      <c r="S31" s="86"/>
      <c r="T31" s="86"/>
    </row>
    <row r="32" spans="4:26" x14ac:dyDescent="0.2">
      <c r="D32" s="1" t="s">
        <v>123</v>
      </c>
      <c r="J32" s="148">
        <v>0.03</v>
      </c>
      <c r="K32" s="120"/>
      <c r="L32" s="86"/>
      <c r="M32" s="86"/>
      <c r="N32" s="86"/>
      <c r="O32" s="86"/>
      <c r="P32" s="86"/>
      <c r="Q32" s="86"/>
      <c r="R32" s="86"/>
      <c r="S32" s="86"/>
      <c r="T32" s="86"/>
    </row>
    <row r="33" spans="4:26" x14ac:dyDescent="0.2">
      <c r="J33" s="151"/>
      <c r="K33" s="86"/>
      <c r="L33" s="86"/>
      <c r="M33" s="86"/>
      <c r="N33" s="86"/>
      <c r="O33" s="86"/>
      <c r="P33" s="86"/>
      <c r="Q33" s="86"/>
      <c r="R33" s="86"/>
      <c r="S33" s="86"/>
    </row>
    <row r="34" spans="4:26" x14ac:dyDescent="0.2">
      <c r="D34" s="1" t="s">
        <v>121</v>
      </c>
      <c r="J34" s="42"/>
      <c r="K34" s="179">
        <f>(K49-$J$27)/($J$28-$J$27)</f>
        <v>4.6632124352331578E-2</v>
      </c>
      <c r="L34" s="46">
        <f>K34+($J$29-K34)*$J$30*L18</f>
        <v>0.12196891191709844</v>
      </c>
      <c r="M34" s="46">
        <f>L34</f>
        <v>0.12196891191709844</v>
      </c>
      <c r="N34" s="46">
        <f t="shared" ref="N34:S34" si="3">M34+($J$29-M34)*$J$30*N18</f>
        <v>0.25757512953367878</v>
      </c>
      <c r="O34" s="46">
        <f t="shared" si="3"/>
        <v>0.36606010362694302</v>
      </c>
      <c r="P34" s="46">
        <f t="shared" si="3"/>
        <v>0.45284808290155443</v>
      </c>
      <c r="Q34" s="46">
        <f t="shared" si="3"/>
        <v>0.52227846632124353</v>
      </c>
      <c r="R34" s="46">
        <f t="shared" si="3"/>
        <v>0.57782277305699481</v>
      </c>
      <c r="S34" s="46">
        <f t="shared" si="3"/>
        <v>0.62225821844559581</v>
      </c>
      <c r="T34" s="46">
        <f t="shared" ref="T34:W34" si="4">S34+($J$29-S34)*$J$30*T18</f>
        <v>0.65780657475647664</v>
      </c>
      <c r="U34" s="46">
        <f t="shared" si="4"/>
        <v>0.68624525980518136</v>
      </c>
      <c r="V34" s="46">
        <f t="shared" si="4"/>
        <v>0.70899620784414508</v>
      </c>
      <c r="W34" s="46">
        <f t="shared" si="4"/>
        <v>0.72719696627531605</v>
      </c>
      <c r="X34" s="46"/>
      <c r="Y34" s="46"/>
      <c r="Z34" s="46"/>
    </row>
    <row r="35" spans="4:26" x14ac:dyDescent="0.2">
      <c r="D35" s="1" t="s">
        <v>122</v>
      </c>
      <c r="J35" s="42"/>
      <c r="K35" s="46">
        <f t="shared" ref="K35:W35" si="5">1-K34</f>
        <v>0.95336787564766845</v>
      </c>
      <c r="L35" s="46">
        <f t="shared" si="5"/>
        <v>0.87803108808290153</v>
      </c>
      <c r="M35" s="46">
        <f t="shared" si="5"/>
        <v>0.87803108808290153</v>
      </c>
      <c r="N35" s="46">
        <f t="shared" si="5"/>
        <v>0.74242487046632122</v>
      </c>
      <c r="O35" s="46">
        <f t="shared" si="5"/>
        <v>0.63393989637305692</v>
      </c>
      <c r="P35" s="46">
        <f t="shared" si="5"/>
        <v>0.54715191709844557</v>
      </c>
      <c r="Q35" s="46">
        <f t="shared" si="5"/>
        <v>0.47772153367875647</v>
      </c>
      <c r="R35" s="46">
        <f t="shared" si="5"/>
        <v>0.42217722694300519</v>
      </c>
      <c r="S35" s="46">
        <f t="shared" si="5"/>
        <v>0.37774178155440419</v>
      </c>
      <c r="T35" s="46">
        <f t="shared" si="5"/>
        <v>0.34219342524352336</v>
      </c>
      <c r="U35" s="46">
        <f t="shared" si="5"/>
        <v>0.31375474019481864</v>
      </c>
      <c r="V35" s="46">
        <f t="shared" si="5"/>
        <v>0.29100379215585492</v>
      </c>
      <c r="W35" s="46">
        <f t="shared" si="5"/>
        <v>0.27280303372468395</v>
      </c>
    </row>
    <row r="36" spans="4:26" x14ac:dyDescent="0.2">
      <c r="J36" s="42"/>
      <c r="K36" s="47"/>
      <c r="L36" s="47"/>
      <c r="M36" s="47"/>
      <c r="N36" s="47"/>
      <c r="O36" s="47"/>
      <c r="P36" s="47"/>
      <c r="Q36" s="47"/>
      <c r="R36" s="47"/>
      <c r="S36" s="47"/>
    </row>
    <row r="37" spans="4:26" x14ac:dyDescent="0.2">
      <c r="D37" s="1" t="s">
        <v>318</v>
      </c>
      <c r="J37" s="42"/>
      <c r="K37" s="46">
        <v>0</v>
      </c>
      <c r="L37" s="137">
        <f t="shared" ref="L37:R37" si="6">$J$32*L35</f>
        <v>2.6340932642487044E-2</v>
      </c>
      <c r="M37" s="137">
        <f t="shared" si="6"/>
        <v>2.6340932642487044E-2</v>
      </c>
      <c r="N37" s="137">
        <f t="shared" si="6"/>
        <v>2.2272746113989637E-2</v>
      </c>
      <c r="O37" s="137">
        <f t="shared" si="6"/>
        <v>1.9018196891191708E-2</v>
      </c>
      <c r="P37" s="137">
        <f t="shared" si="6"/>
        <v>1.6414557512953367E-2</v>
      </c>
      <c r="Q37" s="137">
        <f t="shared" si="6"/>
        <v>1.4331646010362693E-2</v>
      </c>
      <c r="R37" s="137">
        <f t="shared" si="6"/>
        <v>1.2665316808290155E-2</v>
      </c>
      <c r="S37" s="137">
        <f>$J$32*S35</f>
        <v>1.1332253446632126E-2</v>
      </c>
      <c r="T37" s="137">
        <f t="shared" ref="T37:W37" si="7">$J$32*T35</f>
        <v>1.02658027573057E-2</v>
      </c>
      <c r="U37" s="137">
        <f t="shared" si="7"/>
        <v>9.412642205844559E-3</v>
      </c>
      <c r="V37" s="137">
        <f t="shared" si="7"/>
        <v>8.7301137646756469E-3</v>
      </c>
      <c r="W37" s="137">
        <f t="shared" si="7"/>
        <v>8.1840910117405175E-3</v>
      </c>
    </row>
    <row r="38" spans="4:26" x14ac:dyDescent="0.2">
      <c r="J38" s="42"/>
      <c r="K38" s="47"/>
      <c r="L38" s="117"/>
      <c r="M38" s="117"/>
      <c r="N38" s="117"/>
      <c r="O38" s="117"/>
      <c r="P38" s="117"/>
      <c r="Q38" s="117"/>
      <c r="R38" s="117"/>
      <c r="S38" s="117"/>
    </row>
    <row r="39" spans="4:26" x14ac:dyDescent="0.2">
      <c r="D39" s="1" t="s">
        <v>344</v>
      </c>
      <c r="J39" s="42"/>
      <c r="K39" s="46">
        <f t="shared" ref="K39:W39" si="8">($M$23+($L$23-$M$23)*K$34)/(($M$23+($L$23-$M$23)*K$34)+($M$24+($L$24-$M$24)*K$34)+($M$25+($L$25-$M$25)*K$34))</f>
        <v>0.86676915435128354</v>
      </c>
      <c r="L39" s="137">
        <f t="shared" si="8"/>
        <v>0.87176576574113318</v>
      </c>
      <c r="M39" s="137">
        <f t="shared" si="8"/>
        <v>0.87176576574113318</v>
      </c>
      <c r="N39" s="137">
        <f t="shared" si="8"/>
        <v>0.8807596662428625</v>
      </c>
      <c r="O39" s="137">
        <f t="shared" si="8"/>
        <v>0.8879547866442461</v>
      </c>
      <c r="P39" s="137">
        <f t="shared" si="8"/>
        <v>0.89371088296535295</v>
      </c>
      <c r="Q39" s="137">
        <f t="shared" si="8"/>
        <v>0.89831576002223834</v>
      </c>
      <c r="R39" s="137">
        <f t="shared" si="8"/>
        <v>0.9019996616677467</v>
      </c>
      <c r="S39" s="137">
        <f t="shared" si="8"/>
        <v>0.90494678298415343</v>
      </c>
      <c r="T39" s="137">
        <f t="shared" si="8"/>
        <v>0.9073044800372787</v>
      </c>
      <c r="U39" s="137">
        <f t="shared" si="8"/>
        <v>0.90919063767977903</v>
      </c>
      <c r="V39" s="137">
        <f t="shared" si="8"/>
        <v>0.91069956379377925</v>
      </c>
      <c r="W39" s="137">
        <f t="shared" si="8"/>
        <v>0.91190670468497947</v>
      </c>
    </row>
    <row r="40" spans="4:26" x14ac:dyDescent="0.2">
      <c r="D40" s="1" t="s">
        <v>345</v>
      </c>
      <c r="J40" s="42"/>
      <c r="K40" s="46">
        <f t="shared" ref="K40:W40" si="9">($M$24+($L$24-$M$24)*K$34)/(($M$23+($L$23-$M$23)*K$34)+($M$24+($L$24-$M$24)*K$34)+($M$25+($L$25-$M$25)*K$34))</f>
        <v>7.6724427066956521E-2</v>
      </c>
      <c r="L40" s="137">
        <f t="shared" si="9"/>
        <v>7.4217507667208957E-2</v>
      </c>
      <c r="M40" s="137">
        <f t="shared" si="9"/>
        <v>7.4217507667208957E-2</v>
      </c>
      <c r="N40" s="137">
        <f t="shared" si="9"/>
        <v>6.9705052747663393E-2</v>
      </c>
      <c r="O40" s="137">
        <f t="shared" si="9"/>
        <v>6.6095088812026928E-2</v>
      </c>
      <c r="P40" s="137">
        <f t="shared" si="9"/>
        <v>6.3207117663517776E-2</v>
      </c>
      <c r="Q40" s="137">
        <f t="shared" si="9"/>
        <v>6.0896740744710423E-2</v>
      </c>
      <c r="R40" s="137">
        <f t="shared" si="9"/>
        <v>5.9048439209664558E-2</v>
      </c>
      <c r="S40" s="137">
        <f t="shared" si="9"/>
        <v>5.7569797981627868E-2</v>
      </c>
      <c r="T40" s="137">
        <f t="shared" si="9"/>
        <v>5.6386884999198514E-2</v>
      </c>
      <c r="U40" s="137">
        <f t="shared" si="9"/>
        <v>5.5440554613255026E-2</v>
      </c>
      <c r="V40" s="137">
        <f t="shared" si="9"/>
        <v>5.4683490304500239E-2</v>
      </c>
      <c r="W40" s="137">
        <f t="shared" si="9"/>
        <v>5.407783885749641E-2</v>
      </c>
    </row>
    <row r="41" spans="4:26" x14ac:dyDescent="0.2">
      <c r="D41" s="1" t="s">
        <v>346</v>
      </c>
      <c r="J41" s="42"/>
      <c r="K41" s="46">
        <f>1-K39-K40</f>
        <v>5.6506418581759935E-2</v>
      </c>
      <c r="L41" s="137">
        <f t="shared" ref="L41:W41" si="10">1-L39-L40</f>
        <v>5.4016726591657863E-2</v>
      </c>
      <c r="M41" s="137">
        <f t="shared" si="10"/>
        <v>5.4016726591657863E-2</v>
      </c>
      <c r="N41" s="137">
        <f t="shared" si="10"/>
        <v>4.9535281009474103E-2</v>
      </c>
      <c r="O41" s="137">
        <f t="shared" si="10"/>
        <v>4.5950124543726975E-2</v>
      </c>
      <c r="P41" s="137">
        <f t="shared" si="10"/>
        <v>4.3081999371129276E-2</v>
      </c>
      <c r="Q41" s="137">
        <f t="shared" si="10"/>
        <v>4.0787499233051236E-2</v>
      </c>
      <c r="R41" s="137">
        <f t="shared" si="10"/>
        <v>3.8951899122588743E-2</v>
      </c>
      <c r="S41" s="137">
        <f t="shared" si="10"/>
        <v>3.7483419034218701E-2</v>
      </c>
      <c r="T41" s="137">
        <f t="shared" si="10"/>
        <v>3.6308634963522782E-2</v>
      </c>
      <c r="U41" s="137">
        <f t="shared" si="10"/>
        <v>3.5368807706965939E-2</v>
      </c>
      <c r="V41" s="137">
        <f t="shared" si="10"/>
        <v>3.4616945901720507E-2</v>
      </c>
      <c r="W41" s="137">
        <f t="shared" si="10"/>
        <v>3.4015456457524115E-2</v>
      </c>
    </row>
    <row r="42" spans="4:26" x14ac:dyDescent="0.2">
      <c r="K42" s="47"/>
      <c r="L42" s="46"/>
      <c r="M42" s="46"/>
      <c r="N42" s="46"/>
      <c r="O42" s="46"/>
      <c r="P42" s="46"/>
      <c r="Q42" s="46"/>
      <c r="R42" s="46"/>
      <c r="S42" s="46"/>
    </row>
    <row r="43" spans="4:26" x14ac:dyDescent="0.2">
      <c r="D43" s="1" t="s">
        <v>124</v>
      </c>
      <c r="K43" s="152">
        <f>ROUND(K$47*K39,0)</f>
        <v>209</v>
      </c>
      <c r="L43" s="138">
        <f t="shared" ref="L43:W44" si="11">ROUND(L$47*L39,0)</f>
        <v>213</v>
      </c>
      <c r="M43" s="138">
        <f t="shared" si="11"/>
        <v>213</v>
      </c>
      <c r="N43" s="138">
        <f t="shared" si="11"/>
        <v>219</v>
      </c>
      <c r="O43" s="138">
        <f t="shared" si="11"/>
        <v>225</v>
      </c>
      <c r="P43" s="138">
        <f t="shared" si="11"/>
        <v>230</v>
      </c>
      <c r="Q43" s="138">
        <f t="shared" si="11"/>
        <v>234</v>
      </c>
      <c r="R43" s="138">
        <f t="shared" si="11"/>
        <v>237</v>
      </c>
      <c r="S43" s="138">
        <f t="shared" si="11"/>
        <v>240</v>
      </c>
      <c r="T43" s="138">
        <f>ROUND(T$47*T39,0)</f>
        <v>242</v>
      </c>
      <c r="U43" s="138">
        <f t="shared" si="11"/>
        <v>245</v>
      </c>
      <c r="V43" s="138">
        <f t="shared" si="11"/>
        <v>247</v>
      </c>
      <c r="W43" s="138">
        <f t="shared" si="11"/>
        <v>249</v>
      </c>
    </row>
    <row r="44" spans="4:26" x14ac:dyDescent="0.2">
      <c r="D44" s="1" t="s">
        <v>125</v>
      </c>
      <c r="K44" s="153">
        <f>ROUND(K$47*K40,0)</f>
        <v>18</v>
      </c>
      <c r="L44" s="124">
        <f t="shared" si="11"/>
        <v>18</v>
      </c>
      <c r="M44" s="124">
        <f t="shared" si="11"/>
        <v>18</v>
      </c>
      <c r="N44" s="124">
        <f t="shared" si="11"/>
        <v>17</v>
      </c>
      <c r="O44" s="124">
        <f t="shared" si="11"/>
        <v>17</v>
      </c>
      <c r="P44" s="124">
        <f t="shared" si="11"/>
        <v>16</v>
      </c>
      <c r="Q44" s="124">
        <f t="shared" si="11"/>
        <v>16</v>
      </c>
      <c r="R44" s="124">
        <f t="shared" si="11"/>
        <v>16</v>
      </c>
      <c r="S44" s="124">
        <f t="shared" si="11"/>
        <v>15</v>
      </c>
      <c r="T44" s="124">
        <f t="shared" si="11"/>
        <v>15</v>
      </c>
      <c r="U44" s="124">
        <f t="shared" si="11"/>
        <v>15</v>
      </c>
      <c r="V44" s="124">
        <f t="shared" si="11"/>
        <v>15</v>
      </c>
      <c r="W44" s="124">
        <f t="shared" si="11"/>
        <v>15</v>
      </c>
    </row>
    <row r="45" spans="4:26" x14ac:dyDescent="0.2">
      <c r="D45" s="1" t="s">
        <v>342</v>
      </c>
      <c r="K45" s="153">
        <f>K$47-K43-K44</f>
        <v>14</v>
      </c>
      <c r="L45" s="124">
        <f t="shared" ref="L45:W45" si="12">L$47-L43-L44</f>
        <v>13</v>
      </c>
      <c r="M45" s="124">
        <f t="shared" si="12"/>
        <v>13</v>
      </c>
      <c r="N45" s="124">
        <f t="shared" si="12"/>
        <v>13</v>
      </c>
      <c r="O45" s="124">
        <f t="shared" si="12"/>
        <v>11</v>
      </c>
      <c r="P45" s="124">
        <f t="shared" si="12"/>
        <v>11</v>
      </c>
      <c r="Q45" s="124">
        <f t="shared" si="12"/>
        <v>10</v>
      </c>
      <c r="R45" s="124">
        <f t="shared" si="12"/>
        <v>10</v>
      </c>
      <c r="S45" s="124">
        <f t="shared" si="12"/>
        <v>10</v>
      </c>
      <c r="T45" s="124">
        <f t="shared" si="12"/>
        <v>10</v>
      </c>
      <c r="U45" s="124">
        <f t="shared" si="12"/>
        <v>9</v>
      </c>
      <c r="V45" s="124">
        <f t="shared" si="12"/>
        <v>9</v>
      </c>
      <c r="W45" s="124">
        <f t="shared" si="12"/>
        <v>9</v>
      </c>
      <c r="X45" s="124"/>
    </row>
    <row r="46" spans="4:26" x14ac:dyDescent="0.2">
      <c r="K46" s="154"/>
      <c r="L46" s="47"/>
      <c r="M46" s="47"/>
      <c r="N46" s="47"/>
      <c r="O46" s="47"/>
      <c r="P46" s="47"/>
      <c r="Q46" s="47"/>
      <c r="R46" s="47"/>
      <c r="S46" s="47"/>
    </row>
    <row r="47" spans="4:26" x14ac:dyDescent="0.2">
      <c r="D47" s="1" t="s">
        <v>343</v>
      </c>
      <c r="J47" s="42"/>
      <c r="K47" s="153">
        <v>241</v>
      </c>
      <c r="L47" s="138">
        <f>ROUNDDOWN(K47*(1+L37*L18),0)</f>
        <v>244</v>
      </c>
      <c r="M47" s="138">
        <f>L47</f>
        <v>244</v>
      </c>
      <c r="N47" s="138">
        <f t="shared" ref="N47:S47" si="13">ROUNDDOWN(M47*(1+N37*N18),0)</f>
        <v>249</v>
      </c>
      <c r="O47" s="138">
        <f t="shared" si="13"/>
        <v>253</v>
      </c>
      <c r="P47" s="138">
        <f t="shared" si="13"/>
        <v>257</v>
      </c>
      <c r="Q47" s="138">
        <f t="shared" si="13"/>
        <v>260</v>
      </c>
      <c r="R47" s="138">
        <f t="shared" si="13"/>
        <v>263</v>
      </c>
      <c r="S47" s="138">
        <f t="shared" si="13"/>
        <v>265</v>
      </c>
      <c r="T47" s="138">
        <f t="shared" ref="T47:W47" si="14">ROUNDDOWN(S47*(1+T37*T18),0)</f>
        <v>267</v>
      </c>
      <c r="U47" s="138">
        <f t="shared" si="14"/>
        <v>269</v>
      </c>
      <c r="V47" s="138">
        <f t="shared" si="14"/>
        <v>271</v>
      </c>
      <c r="W47" s="138">
        <f t="shared" si="14"/>
        <v>273</v>
      </c>
    </row>
    <row r="48" spans="4:26" x14ac:dyDescent="0.2">
      <c r="J48" s="42"/>
      <c r="K48" s="154"/>
      <c r="L48" s="117"/>
      <c r="M48" s="117"/>
      <c r="N48" s="117"/>
      <c r="O48" s="117"/>
      <c r="P48" s="117"/>
      <c r="Q48" s="117"/>
      <c r="R48" s="117"/>
      <c r="S48" s="117"/>
    </row>
    <row r="49" spans="4:23" x14ac:dyDescent="0.2">
      <c r="D49" s="1" t="s">
        <v>352</v>
      </c>
      <c r="K49" s="155">
        <v>5.6</v>
      </c>
      <c r="L49" s="139">
        <f>($J$27+($J$28-$J$27)*L$34)*(L39*$N$23+L40*$N$24+L41*$N$25)/$J$27</f>
        <v>7.0758028733077474</v>
      </c>
      <c r="M49" s="139">
        <f t="shared" ref="M49:W49" si="15">($J$27+($J$28-$J$27)*M$34)*(M39*$N$23+M40*$N$24+M41*$N$25)/$J$27</f>
        <v>7.0758028733077474</v>
      </c>
      <c r="N49" s="139">
        <f t="shared" si="15"/>
        <v>9.7456549476461554</v>
      </c>
      <c r="O49" s="139">
        <f t="shared" si="15"/>
        <v>11.898902234948856</v>
      </c>
      <c r="P49" s="139">
        <f t="shared" si="15"/>
        <v>13.632614066603477</v>
      </c>
      <c r="Q49" s="139">
        <f t="shared" si="15"/>
        <v>15.026696493087153</v>
      </c>
      <c r="R49" s="139">
        <f t="shared" si="15"/>
        <v>16.146514729416481</v>
      </c>
      <c r="S49" s="139">
        <f t="shared" si="15"/>
        <v>17.045282787371065</v>
      </c>
      <c r="T49" s="139">
        <f t="shared" si="15"/>
        <v>17.766161853825057</v>
      </c>
      <c r="U49" s="139">
        <f t="shared" si="15"/>
        <v>18.344058463846054</v>
      </c>
      <c r="V49" s="139">
        <f t="shared" si="15"/>
        <v>18.807139500251846</v>
      </c>
      <c r="W49" s="139">
        <f t="shared" si="15"/>
        <v>19.178093128345438</v>
      </c>
    </row>
    <row r="50" spans="4:23" x14ac:dyDescent="0.2">
      <c r="D50" s="1" t="s">
        <v>126</v>
      </c>
      <c r="K50" s="124">
        <f>ROUNDDOWN(K47*K49*K18,0)</f>
        <v>674</v>
      </c>
      <c r="L50" s="124">
        <f>ROUNDDOWN(L47*L49*L18,0)</f>
        <v>863</v>
      </c>
      <c r="M50" s="124">
        <f>K50+L50</f>
        <v>1537</v>
      </c>
      <c r="N50" s="124">
        <f t="shared" ref="N50:S50" si="16">ROUNDDOWN(N47*N49*N18,0)</f>
        <v>2426</v>
      </c>
      <c r="O50" s="124">
        <f t="shared" si="16"/>
        <v>3010</v>
      </c>
      <c r="P50" s="124">
        <f t="shared" si="16"/>
        <v>3503</v>
      </c>
      <c r="Q50" s="124">
        <f t="shared" si="16"/>
        <v>3906</v>
      </c>
      <c r="R50" s="124">
        <f t="shared" si="16"/>
        <v>4246</v>
      </c>
      <c r="S50" s="124">
        <f t="shared" si="16"/>
        <v>4516</v>
      </c>
      <c r="T50" s="124">
        <f t="shared" ref="T50:W50" si="17">ROUNDDOWN(T47*T49*T18,0)</f>
        <v>4743</v>
      </c>
      <c r="U50" s="124">
        <f t="shared" si="17"/>
        <v>4934</v>
      </c>
      <c r="V50" s="124">
        <f t="shared" si="17"/>
        <v>5096</v>
      </c>
      <c r="W50" s="124">
        <f t="shared" si="17"/>
        <v>5235</v>
      </c>
    </row>
    <row r="51" spans="4:23" x14ac:dyDescent="0.2">
      <c r="K51" s="124"/>
      <c r="L51" s="124"/>
      <c r="M51" s="124"/>
      <c r="N51" s="124"/>
      <c r="O51" s="124"/>
      <c r="P51" s="124"/>
      <c r="Q51" s="124"/>
      <c r="R51" s="124"/>
      <c r="S51" s="124"/>
    </row>
    <row r="52" spans="4:23" x14ac:dyDescent="0.2">
      <c r="K52" s="124"/>
      <c r="L52" s="124"/>
      <c r="M52" s="124"/>
      <c r="N52" s="124"/>
      <c r="O52" s="124"/>
      <c r="P52" s="124"/>
      <c r="Q52" s="124"/>
      <c r="R52" s="124"/>
      <c r="S52" s="124"/>
    </row>
    <row r="53" spans="4:23" x14ac:dyDescent="0.2">
      <c r="K53" s="124"/>
      <c r="L53" s="124"/>
      <c r="M53" s="124"/>
      <c r="N53" s="124"/>
      <c r="O53" s="124"/>
      <c r="P53" s="124"/>
      <c r="Q53" s="124"/>
      <c r="R53" s="124"/>
      <c r="S53" s="124"/>
    </row>
    <row r="54" spans="4:23" x14ac:dyDescent="0.2">
      <c r="D54" s="32" t="s">
        <v>373</v>
      </c>
      <c r="E54" s="32"/>
      <c r="F54" s="32"/>
      <c r="G54" s="32"/>
      <c r="H54" s="32"/>
      <c r="I54" s="32"/>
      <c r="J54" s="156"/>
      <c r="K54" s="165">
        <f>K56</f>
        <v>0</v>
      </c>
      <c r="L54" s="166">
        <f t="shared" ref="L54:W54" si="18">L56</f>
        <v>89</v>
      </c>
      <c r="M54" s="166">
        <f t="shared" si="18"/>
        <v>89</v>
      </c>
      <c r="N54" s="166">
        <f t="shared" si="18"/>
        <v>93.046497077425457</v>
      </c>
      <c r="O54" s="166">
        <f t="shared" si="18"/>
        <v>96.768356960522524</v>
      </c>
      <c r="P54" s="166">
        <f t="shared" si="18"/>
        <v>100.59021337079083</v>
      </c>
      <c r="Q54" s="166">
        <f t="shared" si="18"/>
        <v>104.56301361104137</v>
      </c>
      <c r="R54" s="166">
        <f t="shared" si="18"/>
        <v>108.69271919247808</v>
      </c>
      <c r="S54" s="166">
        <f t="shared" si="18"/>
        <v>112.98552707558324</v>
      </c>
      <c r="T54" s="166">
        <f t="shared" si="18"/>
        <v>117.4478789691627</v>
      </c>
      <c r="U54" s="166">
        <f t="shared" si="18"/>
        <v>122.08647099665605</v>
      </c>
      <c r="V54" s="166">
        <f t="shared" si="18"/>
        <v>126.90826374421667</v>
      </c>
      <c r="W54" s="166">
        <f t="shared" si="18"/>
        <v>131.92049270563973</v>
      </c>
    </row>
    <row r="55" spans="4:23" x14ac:dyDescent="0.2">
      <c r="D55" s="3"/>
      <c r="K55" s="136"/>
      <c r="L55" s="162"/>
      <c r="M55" s="162"/>
      <c r="N55" s="162"/>
      <c r="O55" s="162"/>
      <c r="P55" s="162"/>
      <c r="Q55" s="162"/>
      <c r="R55" s="162"/>
      <c r="S55" s="162"/>
    </row>
    <row r="56" spans="4:23" x14ac:dyDescent="0.2">
      <c r="D56" s="1" t="s">
        <v>114</v>
      </c>
      <c r="K56" s="136">
        <v>0</v>
      </c>
      <c r="L56" s="162">
        <v>89</v>
      </c>
      <c r="M56" s="162">
        <f>L56</f>
        <v>89</v>
      </c>
      <c r="N56" s="162">
        <f>M56*(1+'Macro - Itaú'!J8)</f>
        <v>93.046497077425457</v>
      </c>
      <c r="O56" s="162">
        <f>N56*(1+'Macro - Itaú'!K8)</f>
        <v>96.768356960522524</v>
      </c>
      <c r="P56" s="162">
        <f>O56*(1+'Macro - Itaú'!L8)</f>
        <v>100.59021337079083</v>
      </c>
      <c r="Q56" s="162">
        <f>P56*(1+'Macro - Itaú'!M8)</f>
        <v>104.56301361104137</v>
      </c>
      <c r="R56" s="162">
        <f>Q56*(1+'Macro - Itaú'!N8)</f>
        <v>108.69271919247808</v>
      </c>
      <c r="S56" s="162">
        <f>R56*(1+'Macro - Itaú'!O8)</f>
        <v>112.98552707558324</v>
      </c>
      <c r="T56" s="162">
        <f>S56*(1+'Macro - Itaú'!P8)</f>
        <v>117.4478789691627</v>
      </c>
      <c r="U56" s="162">
        <f>T56*(1+'Macro - Itaú'!Q8)</f>
        <v>122.08647099665605</v>
      </c>
      <c r="V56" s="162">
        <f>U56*(1+'Macro - Itaú'!R8)</f>
        <v>126.90826374421667</v>
      </c>
      <c r="W56" s="162">
        <f>V56*(1+'Macro - Itaú'!S8)</f>
        <v>131.92049270563973</v>
      </c>
    </row>
    <row r="57" spans="4:23" x14ac:dyDescent="0.2">
      <c r="K57" s="162"/>
      <c r="L57" s="162"/>
      <c r="M57" s="162"/>
      <c r="N57" s="162"/>
      <c r="O57" s="162"/>
      <c r="P57" s="162"/>
      <c r="Q57" s="162"/>
      <c r="R57" s="162"/>
      <c r="S57" s="162"/>
    </row>
    <row r="58" spans="4:23" x14ac:dyDescent="0.2">
      <c r="D58" s="20" t="s">
        <v>337</v>
      </c>
      <c r="E58" s="20"/>
      <c r="F58" s="20"/>
      <c r="G58" s="20"/>
      <c r="H58" s="20"/>
      <c r="I58" s="20"/>
      <c r="J58" s="41"/>
      <c r="K58" s="163"/>
      <c r="L58" s="163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</row>
    <row r="59" spans="4:23" x14ac:dyDescent="0.2">
      <c r="K59" s="47"/>
      <c r="L59" s="47"/>
      <c r="M59" s="49"/>
      <c r="N59" s="49"/>
      <c r="O59" s="49"/>
      <c r="P59" s="49"/>
      <c r="Q59" s="49"/>
      <c r="R59" s="49"/>
      <c r="S59" s="49"/>
    </row>
    <row r="60" spans="4:23" x14ac:dyDescent="0.2">
      <c r="D60" s="1" t="s">
        <v>354</v>
      </c>
      <c r="J60" s="125">
        <v>12000000</v>
      </c>
      <c r="K60" s="47"/>
      <c r="L60" s="47"/>
      <c r="M60" s="49"/>
      <c r="N60" s="49"/>
      <c r="O60" s="49"/>
      <c r="P60" s="49"/>
      <c r="Q60" s="49"/>
      <c r="R60" s="49"/>
      <c r="S60" s="49"/>
    </row>
    <row r="61" spans="4:23" x14ac:dyDescent="0.2">
      <c r="D61" s="1" t="s">
        <v>355</v>
      </c>
      <c r="J61" s="125">
        <v>6500000</v>
      </c>
      <c r="K61" s="47"/>
      <c r="L61" s="47"/>
      <c r="M61" s="49"/>
      <c r="N61" s="49"/>
      <c r="O61" s="49"/>
      <c r="P61" s="49"/>
      <c r="Q61" s="49"/>
      <c r="R61" s="49"/>
      <c r="S61" s="49"/>
    </row>
    <row r="62" spans="4:23" x14ac:dyDescent="0.2">
      <c r="D62" s="1" t="s">
        <v>356</v>
      </c>
      <c r="J62" s="160">
        <f>J61/J60</f>
        <v>0.54166666666666663</v>
      </c>
      <c r="K62" s="47"/>
      <c r="L62" s="47"/>
      <c r="M62" s="49"/>
      <c r="N62" s="49"/>
      <c r="O62" s="49"/>
      <c r="P62" s="49"/>
      <c r="Q62" s="49"/>
      <c r="R62" s="49"/>
      <c r="S62" s="49"/>
    </row>
    <row r="63" spans="4:23" x14ac:dyDescent="0.2">
      <c r="D63" s="1" t="s">
        <v>358</v>
      </c>
      <c r="J63" s="125">
        <v>175061</v>
      </c>
      <c r="K63" s="47"/>
      <c r="L63" s="47"/>
      <c r="M63" s="49"/>
      <c r="N63" s="49"/>
      <c r="O63" s="49"/>
      <c r="P63" s="49"/>
      <c r="Q63" s="49"/>
      <c r="R63" s="49"/>
      <c r="S63" s="49"/>
    </row>
    <row r="64" spans="4:23" x14ac:dyDescent="0.2">
      <c r="D64" s="1" t="s">
        <v>357</v>
      </c>
      <c r="J64" s="125">
        <f>J63*J62</f>
        <v>94824.708333333328</v>
      </c>
      <c r="K64" s="47"/>
      <c r="L64" s="47"/>
      <c r="M64" s="49"/>
      <c r="N64" s="49"/>
      <c r="O64" s="49"/>
      <c r="P64" s="49"/>
      <c r="Q64" s="49"/>
      <c r="R64" s="49"/>
      <c r="S64" s="49"/>
    </row>
    <row r="65" spans="4:23" x14ac:dyDescent="0.2">
      <c r="D65" s="1" t="s">
        <v>361</v>
      </c>
      <c r="J65" s="125">
        <v>570000</v>
      </c>
      <c r="K65" s="47"/>
      <c r="L65" s="47"/>
      <c r="M65" s="49"/>
      <c r="N65" s="49"/>
      <c r="O65" s="49"/>
      <c r="P65" s="49"/>
      <c r="Q65" s="49"/>
      <c r="R65" s="49"/>
      <c r="S65" s="49"/>
    </row>
    <row r="66" spans="4:23" x14ac:dyDescent="0.2">
      <c r="D66" s="1" t="s">
        <v>360</v>
      </c>
      <c r="J66" s="159">
        <f>J65/J61</f>
        <v>8.7692307692307694E-2</v>
      </c>
      <c r="K66" s="47"/>
      <c r="L66" s="47"/>
      <c r="M66" s="49"/>
      <c r="N66" s="49"/>
      <c r="O66" s="49"/>
      <c r="P66" s="49"/>
      <c r="Q66" s="49"/>
      <c r="R66" s="49"/>
      <c r="S66" s="49"/>
    </row>
    <row r="67" spans="4:23" x14ac:dyDescent="0.2">
      <c r="D67" s="1" t="s">
        <v>359</v>
      </c>
      <c r="J67" s="125">
        <f>J66*J64</f>
        <v>8315.3974999999991</v>
      </c>
      <c r="K67" s="47"/>
      <c r="L67" s="47"/>
      <c r="M67" s="49"/>
      <c r="N67" s="49"/>
      <c r="O67" s="49"/>
      <c r="P67" s="49"/>
      <c r="Q67" s="49"/>
      <c r="R67" s="49"/>
      <c r="S67" s="49"/>
    </row>
    <row r="68" spans="4:23" x14ac:dyDescent="0.2">
      <c r="D68" s="1" t="s">
        <v>362</v>
      </c>
      <c r="J68" s="125">
        <v>300000</v>
      </c>
      <c r="K68" s="47"/>
      <c r="L68" s="47"/>
      <c r="M68" s="49"/>
      <c r="N68" s="49"/>
      <c r="O68" s="49"/>
      <c r="P68" s="49"/>
      <c r="Q68" s="49"/>
      <c r="R68" s="49"/>
      <c r="S68" s="49"/>
    </row>
    <row r="69" spans="4:23" x14ac:dyDescent="0.2">
      <c r="D69" s="1" t="s">
        <v>363</v>
      </c>
      <c r="J69" s="125">
        <v>1700000</v>
      </c>
      <c r="K69" s="47"/>
      <c r="L69" s="47"/>
      <c r="M69" s="49"/>
      <c r="N69" s="49"/>
      <c r="O69" s="49"/>
      <c r="P69" s="49"/>
      <c r="Q69" s="49"/>
      <c r="R69" s="49"/>
      <c r="S69" s="49"/>
    </row>
    <row r="70" spans="4:23" x14ac:dyDescent="0.2">
      <c r="D70" s="1" t="s">
        <v>364</v>
      </c>
      <c r="J70" s="160">
        <f>J68/J69</f>
        <v>0.17647058823529413</v>
      </c>
      <c r="K70" s="47"/>
      <c r="L70" s="47"/>
      <c r="M70" s="49"/>
      <c r="N70" s="49"/>
      <c r="O70" s="49"/>
      <c r="P70" s="49"/>
      <c r="Q70" s="49"/>
      <c r="R70" s="49"/>
      <c r="S70" s="49"/>
    </row>
    <row r="71" spans="4:23" x14ac:dyDescent="0.2">
      <c r="D71" s="1" t="s">
        <v>365</v>
      </c>
      <c r="J71" s="125">
        <f>J67*J70</f>
        <v>1467.423088235294</v>
      </c>
      <c r="K71" s="47"/>
      <c r="L71" s="47"/>
      <c r="M71" s="49"/>
      <c r="N71" s="49"/>
      <c r="O71" s="49"/>
      <c r="P71" s="49"/>
      <c r="Q71" s="49"/>
      <c r="R71" s="49"/>
      <c r="S71" s="49"/>
    </row>
    <row r="72" spans="4:23" x14ac:dyDescent="0.2">
      <c r="D72" s="1" t="s">
        <v>366</v>
      </c>
      <c r="J72" s="158">
        <v>1.5</v>
      </c>
      <c r="K72" s="47"/>
      <c r="L72" s="47"/>
      <c r="M72" s="49"/>
      <c r="N72" s="49"/>
      <c r="O72" s="49"/>
      <c r="P72" s="49"/>
      <c r="Q72" s="49"/>
      <c r="R72" s="49"/>
      <c r="S72" s="49"/>
    </row>
    <row r="73" spans="4:23" x14ac:dyDescent="0.2">
      <c r="D73" s="1" t="s">
        <v>367</v>
      </c>
      <c r="J73" s="125">
        <f>J71*J72/7</f>
        <v>314.44780462184872</v>
      </c>
      <c r="K73" s="47"/>
      <c r="L73" s="47"/>
      <c r="M73" s="49"/>
      <c r="N73" s="49"/>
      <c r="O73" s="49"/>
      <c r="P73" s="49"/>
      <c r="Q73" s="49"/>
      <c r="R73" s="49"/>
      <c r="S73" s="49"/>
    </row>
    <row r="74" spans="4:23" x14ac:dyDescent="0.2">
      <c r="D74" s="1" t="s">
        <v>368</v>
      </c>
      <c r="J74" s="125">
        <v>290</v>
      </c>
      <c r="K74" s="47"/>
      <c r="L74" s="47"/>
      <c r="M74" s="49"/>
      <c r="N74" s="49"/>
      <c r="O74" s="49"/>
      <c r="P74" s="49"/>
      <c r="Q74" s="49"/>
      <c r="R74" s="49"/>
      <c r="S74" s="49"/>
    </row>
    <row r="75" spans="4:23" x14ac:dyDescent="0.2">
      <c r="D75" s="1" t="s">
        <v>369</v>
      </c>
      <c r="J75" s="160">
        <v>0.03</v>
      </c>
      <c r="K75" s="47"/>
      <c r="L75" s="47"/>
      <c r="M75" s="49"/>
      <c r="N75" s="49"/>
      <c r="O75" s="49"/>
      <c r="P75" s="49"/>
      <c r="Q75" s="49"/>
      <c r="R75" s="49"/>
      <c r="S75" s="49"/>
    </row>
    <row r="76" spans="4:23" x14ac:dyDescent="0.2">
      <c r="D76" s="1" t="s">
        <v>370</v>
      </c>
      <c r="J76" s="125">
        <f>J75*J74</f>
        <v>8.6999999999999993</v>
      </c>
      <c r="K76" s="47"/>
      <c r="L76" s="47"/>
      <c r="M76" s="49"/>
      <c r="N76" s="49"/>
      <c r="O76" s="49"/>
      <c r="P76" s="49"/>
      <c r="Q76" s="49"/>
      <c r="R76" s="49"/>
      <c r="S76" s="49"/>
    </row>
    <row r="77" spans="4:23" x14ac:dyDescent="0.2">
      <c r="D77" s="1" t="s">
        <v>371</v>
      </c>
      <c r="J77" s="125">
        <v>313</v>
      </c>
      <c r="K77" s="47"/>
      <c r="L77" s="47"/>
      <c r="M77" s="49"/>
      <c r="N77" s="49"/>
      <c r="O77" s="49"/>
      <c r="P77" s="49"/>
      <c r="Q77" s="49"/>
      <c r="R77" s="49"/>
      <c r="S77" s="49"/>
    </row>
    <row r="78" spans="4:23" x14ac:dyDescent="0.2">
      <c r="J78" s="125"/>
      <c r="K78" s="47"/>
      <c r="L78" s="47"/>
      <c r="M78" s="49"/>
      <c r="N78" s="49"/>
      <c r="O78" s="49"/>
      <c r="P78" s="49"/>
      <c r="Q78" s="49"/>
      <c r="R78" s="49"/>
      <c r="S78" s="49"/>
    </row>
    <row r="79" spans="4:23" x14ac:dyDescent="0.2">
      <c r="D79" s="32" t="s">
        <v>384</v>
      </c>
      <c r="E79" s="32"/>
      <c r="F79" s="32"/>
      <c r="G79" s="32"/>
      <c r="H79" s="32"/>
      <c r="I79" s="32"/>
      <c r="J79" s="161">
        <f>J77*J76</f>
        <v>2723.1</v>
      </c>
      <c r="K79" s="180">
        <v>0</v>
      </c>
      <c r="L79" s="184">
        <f>$J$79*L18</f>
        <v>1361.55</v>
      </c>
      <c r="M79" s="94">
        <f>K79+L79</f>
        <v>1361.55</v>
      </c>
      <c r="N79" s="94">
        <f>$J$79*N18</f>
        <v>2723.1</v>
      </c>
      <c r="O79" s="94">
        <f t="shared" ref="N79:W79" si="19">$J$79*O18</f>
        <v>2723.1</v>
      </c>
      <c r="P79" s="94">
        <f t="shared" si="19"/>
        <v>2723.1</v>
      </c>
      <c r="Q79" s="94">
        <f t="shared" si="19"/>
        <v>2723.1</v>
      </c>
      <c r="R79" s="94">
        <f t="shared" si="19"/>
        <v>2723.1</v>
      </c>
      <c r="S79" s="94">
        <f t="shared" si="19"/>
        <v>2723.1</v>
      </c>
      <c r="T79" s="94">
        <f t="shared" si="19"/>
        <v>2723.1</v>
      </c>
      <c r="U79" s="94">
        <f t="shared" si="19"/>
        <v>2723.1</v>
      </c>
      <c r="V79" s="94">
        <f t="shared" si="19"/>
        <v>2723.1</v>
      </c>
      <c r="W79" s="94">
        <f t="shared" si="19"/>
        <v>2723.1</v>
      </c>
    </row>
    <row r="80" spans="4:23" x14ac:dyDescent="0.2">
      <c r="J80" s="125"/>
      <c r="K80" s="47"/>
      <c r="L80" s="47"/>
      <c r="M80" s="47"/>
      <c r="N80" s="47"/>
      <c r="O80" s="47"/>
      <c r="P80" s="47"/>
      <c r="Q80" s="47"/>
      <c r="R80" s="47"/>
      <c r="S80" s="47"/>
    </row>
    <row r="81" spans="3:23" x14ac:dyDescent="0.2">
      <c r="K81" s="47"/>
      <c r="L81" s="47"/>
      <c r="M81" s="47"/>
      <c r="N81" s="47"/>
      <c r="O81" s="47"/>
      <c r="P81" s="47"/>
      <c r="Q81" s="47"/>
      <c r="R81" s="47"/>
      <c r="S81" s="47"/>
    </row>
    <row r="82" spans="3:23" x14ac:dyDescent="0.2">
      <c r="K82" s="47"/>
      <c r="L82" s="47"/>
      <c r="M82" s="47"/>
      <c r="N82" s="47"/>
      <c r="O82" s="47"/>
      <c r="P82" s="47"/>
      <c r="Q82" s="47"/>
      <c r="R82" s="47"/>
      <c r="S82" s="47"/>
    </row>
    <row r="83" spans="3:23" x14ac:dyDescent="0.2">
      <c r="D83" s="32" t="s">
        <v>377</v>
      </c>
      <c r="E83" s="20"/>
      <c r="F83" s="20"/>
      <c r="G83" s="20"/>
      <c r="H83" s="20"/>
      <c r="I83" s="20"/>
      <c r="J83" s="41"/>
      <c r="K83" s="48"/>
      <c r="L83" s="94">
        <f t="shared" ref="L83:W83" si="20">L93+L87+L90</f>
        <v>199.93639999999999</v>
      </c>
      <c r="M83" s="94">
        <f t="shared" si="20"/>
        <v>199.93639999999999</v>
      </c>
      <c r="N83" s="94">
        <f t="shared" si="20"/>
        <v>422.28819999999996</v>
      </c>
      <c r="O83" s="94">
        <f t="shared" si="20"/>
        <v>527.72360000000003</v>
      </c>
      <c r="P83" s="94">
        <f t="shared" si="20"/>
        <v>596.98599999999999</v>
      </c>
      <c r="Q83" s="94">
        <f t="shared" si="20"/>
        <v>655.45579999999995</v>
      </c>
      <c r="R83" s="94">
        <f t="shared" si="20"/>
        <v>703.25159999999994</v>
      </c>
      <c r="S83" s="94">
        <f>S93+S87+S90</f>
        <v>743.57560000000001</v>
      </c>
      <c r="T83" s="94">
        <f t="shared" si="20"/>
        <v>775.59760000000006</v>
      </c>
      <c r="U83" s="94">
        <f t="shared" si="20"/>
        <v>802.51980000000003</v>
      </c>
      <c r="V83" s="94">
        <f t="shared" si="20"/>
        <v>825.17240000000004</v>
      </c>
      <c r="W83" s="94">
        <f t="shared" si="20"/>
        <v>844.38559999999995</v>
      </c>
    </row>
    <row r="84" spans="3:23" x14ac:dyDescent="0.2">
      <c r="K84" s="47"/>
      <c r="L84" s="47"/>
      <c r="M84" s="47"/>
      <c r="N84" s="47"/>
      <c r="O84" s="47"/>
      <c r="P84" s="47"/>
      <c r="Q84" s="47"/>
      <c r="R84" s="47"/>
      <c r="S84" s="47"/>
    </row>
    <row r="85" spans="3:23" x14ac:dyDescent="0.2">
      <c r="D85" s="20" t="s">
        <v>336</v>
      </c>
      <c r="E85" s="20"/>
      <c r="F85" s="20"/>
      <c r="G85" s="20"/>
      <c r="H85" s="20"/>
      <c r="I85" s="20"/>
      <c r="J85" s="41"/>
      <c r="K85" s="48"/>
      <c r="L85" s="48"/>
      <c r="M85" s="48"/>
      <c r="N85" s="48"/>
      <c r="O85" s="48"/>
      <c r="P85" s="48"/>
      <c r="Q85" s="48"/>
      <c r="R85" s="48"/>
      <c r="S85" s="48"/>
      <c r="T85" s="20"/>
      <c r="U85" s="20"/>
      <c r="V85" s="20"/>
      <c r="W85" s="20"/>
    </row>
    <row r="86" spans="3:23" x14ac:dyDescent="0.2">
      <c r="E86" s="1" t="s">
        <v>379</v>
      </c>
      <c r="J86" s="42">
        <v>2.5000000000000001E-2</v>
      </c>
      <c r="K86" s="47"/>
      <c r="L86" s="47"/>
      <c r="M86" s="47"/>
      <c r="N86" s="47"/>
      <c r="O86" s="47"/>
      <c r="P86" s="47"/>
      <c r="Q86" s="47"/>
      <c r="R86" s="47"/>
      <c r="S86" s="47"/>
    </row>
    <row r="87" spans="3:23" x14ac:dyDescent="0.2">
      <c r="E87" s="1" t="s">
        <v>378</v>
      </c>
      <c r="K87" s="47">
        <v>0</v>
      </c>
      <c r="L87" s="47">
        <f t="shared" ref="L87:R87" si="21">$J$86*K20</f>
        <v>16.850000000000001</v>
      </c>
      <c r="M87" s="47">
        <f>K87+L87</f>
        <v>16.850000000000001</v>
      </c>
      <c r="N87" s="47">
        <f t="shared" si="21"/>
        <v>38.425000000000004</v>
      </c>
      <c r="O87" s="47">
        <f t="shared" si="21"/>
        <v>60.650000000000006</v>
      </c>
      <c r="P87" s="47">
        <f t="shared" si="21"/>
        <v>75.25</v>
      </c>
      <c r="Q87" s="47">
        <f t="shared" si="21"/>
        <v>87.575000000000003</v>
      </c>
      <c r="R87" s="47">
        <f t="shared" si="21"/>
        <v>97.65</v>
      </c>
      <c r="S87" s="47">
        <f>$J$86*R20</f>
        <v>106.15</v>
      </c>
      <c r="T87" s="47">
        <f t="shared" ref="T87:W87" si="22">$J$86*S20</f>
        <v>112.9</v>
      </c>
      <c r="U87" s="47">
        <f t="shared" si="22"/>
        <v>118.575</v>
      </c>
      <c r="V87" s="47">
        <f t="shared" si="22"/>
        <v>123.35000000000001</v>
      </c>
      <c r="W87" s="47">
        <f t="shared" si="22"/>
        <v>127.4</v>
      </c>
    </row>
    <row r="88" spans="3:23" x14ac:dyDescent="0.2">
      <c r="K88" s="47"/>
      <c r="L88" s="47"/>
      <c r="M88" s="47"/>
      <c r="N88" s="47"/>
      <c r="O88" s="47"/>
      <c r="P88" s="47"/>
      <c r="Q88" s="47"/>
      <c r="R88" s="47"/>
      <c r="S88" s="47"/>
    </row>
    <row r="89" spans="3:23" x14ac:dyDescent="0.2">
      <c r="E89" s="1" t="s">
        <v>380</v>
      </c>
      <c r="J89" s="40">
        <v>5</v>
      </c>
      <c r="K89" s="47"/>
      <c r="L89" s="47"/>
      <c r="M89" s="47"/>
      <c r="N89" s="47"/>
      <c r="O89" s="47"/>
      <c r="P89" s="47"/>
      <c r="Q89" s="47"/>
      <c r="R89" s="47"/>
      <c r="S89" s="47"/>
    </row>
    <row r="90" spans="3:23" x14ac:dyDescent="0.2">
      <c r="E90" s="1" t="s">
        <v>381</v>
      </c>
      <c r="K90" s="47">
        <v>0</v>
      </c>
      <c r="L90" s="47">
        <f>$J$89*4*12*L18</f>
        <v>120</v>
      </c>
      <c r="M90" s="47">
        <f>K90+L90</f>
        <v>120</v>
      </c>
      <c r="N90" s="47">
        <f t="shared" ref="N90:S90" si="23">$J$89*4*12*N18</f>
        <v>240</v>
      </c>
      <c r="O90" s="47">
        <f t="shared" si="23"/>
        <v>240</v>
      </c>
      <c r="P90" s="47">
        <f t="shared" si="23"/>
        <v>240</v>
      </c>
      <c r="Q90" s="47">
        <f t="shared" si="23"/>
        <v>240</v>
      </c>
      <c r="R90" s="47">
        <f t="shared" si="23"/>
        <v>240</v>
      </c>
      <c r="S90" s="47">
        <f t="shared" si="23"/>
        <v>240</v>
      </c>
      <c r="T90" s="47">
        <f t="shared" ref="T90:W90" si="24">$J$89*4*12*T18</f>
        <v>240</v>
      </c>
      <c r="U90" s="47">
        <f t="shared" si="24"/>
        <v>240</v>
      </c>
      <c r="V90" s="47">
        <f t="shared" si="24"/>
        <v>240</v>
      </c>
      <c r="W90" s="47">
        <f t="shared" si="24"/>
        <v>240</v>
      </c>
    </row>
    <row r="91" spans="3:23" x14ac:dyDescent="0.2">
      <c r="K91" s="47"/>
      <c r="L91" s="47"/>
      <c r="M91" s="47"/>
      <c r="N91" s="47"/>
      <c r="O91" s="47"/>
      <c r="P91" s="47"/>
      <c r="Q91" s="47"/>
      <c r="R91" s="47"/>
      <c r="S91" s="47"/>
    </row>
    <row r="92" spans="3:23" x14ac:dyDescent="0.2">
      <c r="E92" s="1" t="s">
        <v>382</v>
      </c>
      <c r="J92" s="109">
        <v>0.72</v>
      </c>
      <c r="K92" s="47"/>
      <c r="L92" s="47"/>
      <c r="M92" s="47"/>
      <c r="N92" s="47"/>
      <c r="O92" s="47"/>
      <c r="P92" s="47"/>
      <c r="Q92" s="47"/>
      <c r="R92" s="47"/>
      <c r="S92" s="47"/>
    </row>
    <row r="93" spans="3:23" x14ac:dyDescent="0.2">
      <c r="E93" s="1" t="s">
        <v>383</v>
      </c>
      <c r="J93" s="109">
        <v>0.13</v>
      </c>
      <c r="K93" s="47">
        <v>0</v>
      </c>
      <c r="L93" s="47">
        <f>J92*K20*J93</f>
        <v>63.086399999999998</v>
      </c>
      <c r="M93" s="47">
        <f>K93+L93</f>
        <v>63.086399999999998</v>
      </c>
      <c r="N93" s="47">
        <f t="shared" ref="N93:S93" si="25">$J$92*M20*$J$93</f>
        <v>143.86319999999998</v>
      </c>
      <c r="O93" s="47">
        <f t="shared" si="25"/>
        <v>227.0736</v>
      </c>
      <c r="P93" s="47">
        <f t="shared" si="25"/>
        <v>281.73599999999999</v>
      </c>
      <c r="Q93" s="47">
        <f t="shared" si="25"/>
        <v>327.88079999999997</v>
      </c>
      <c r="R93" s="47">
        <f t="shared" si="25"/>
        <v>365.60159999999996</v>
      </c>
      <c r="S93" s="47">
        <f t="shared" si="25"/>
        <v>397.42559999999997</v>
      </c>
      <c r="T93" s="47">
        <f t="shared" ref="T93:W93" si="26">$J$92*S20*$J$93</f>
        <v>422.69760000000002</v>
      </c>
      <c r="U93" s="47">
        <f t="shared" si="26"/>
        <v>443.94480000000004</v>
      </c>
      <c r="V93" s="47">
        <f t="shared" si="26"/>
        <v>461.82240000000002</v>
      </c>
      <c r="W93" s="47">
        <f t="shared" si="26"/>
        <v>476.98559999999998</v>
      </c>
    </row>
    <row r="94" spans="3:23" x14ac:dyDescent="0.2">
      <c r="D94" s="35"/>
      <c r="E94" s="16"/>
      <c r="K94" s="47"/>
      <c r="L94" s="47"/>
      <c r="M94" s="47"/>
      <c r="N94" s="47"/>
      <c r="O94" s="47"/>
      <c r="P94" s="47"/>
      <c r="Q94" s="47"/>
      <c r="R94" s="47"/>
      <c r="S94" s="47"/>
    </row>
    <row r="95" spans="3:23" x14ac:dyDescent="0.2">
      <c r="K95" s="47"/>
      <c r="L95" s="50"/>
      <c r="M95" s="50"/>
      <c r="N95" s="50"/>
      <c r="O95" s="50"/>
      <c r="P95" s="50"/>
      <c r="Q95" s="50"/>
      <c r="R95" s="50"/>
      <c r="S95" s="50"/>
    </row>
    <row r="96" spans="3:23" x14ac:dyDescent="0.2">
      <c r="C96" s="10"/>
      <c r="D96" s="13" t="s">
        <v>127</v>
      </c>
      <c r="E96" s="11"/>
      <c r="F96" s="11"/>
      <c r="G96" s="11"/>
      <c r="H96" s="11"/>
      <c r="I96" s="11"/>
      <c r="J96" s="39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</row>
    <row r="97" spans="3:23" x14ac:dyDescent="0.2">
      <c r="K97" s="47"/>
      <c r="L97" s="50"/>
      <c r="M97" s="50"/>
      <c r="N97" s="50"/>
      <c r="O97" s="50"/>
      <c r="P97" s="50"/>
      <c r="Q97" s="50"/>
      <c r="R97" s="50"/>
      <c r="S97" s="50"/>
    </row>
    <row r="98" spans="3:23" x14ac:dyDescent="0.2">
      <c r="D98" s="97" t="s">
        <v>35</v>
      </c>
      <c r="J98" s="125"/>
      <c r="K98" s="47">
        <f>-Input!V18</f>
        <v>60854</v>
      </c>
      <c r="L98" s="50">
        <f t="shared" ref="L98:L107" si="27">K98</f>
        <v>60854</v>
      </c>
      <c r="M98" s="50">
        <f t="shared" ref="M98:M107" si="28">K98+L98</f>
        <v>121708</v>
      </c>
      <c r="N98" s="50">
        <f>M98*(1+'Macro - Itaú'!J8)</f>
        <v>127241.60748650896</v>
      </c>
      <c r="O98" s="50">
        <f>N98*(1+'Macro - Itaú'!K8)</f>
        <v>132331.27178596938</v>
      </c>
      <c r="P98" s="50">
        <f>O98*(1+'Macro - Itaú'!L8)</f>
        <v>137557.68189811471</v>
      </c>
      <c r="Q98" s="50">
        <f>P98*(1+'Macro - Itaú'!M8)</f>
        <v>142990.50854575977</v>
      </c>
      <c r="R98" s="50">
        <f>Q98*(1+'Macro - Itaú'!N8)</f>
        <v>148637.90412896764</v>
      </c>
      <c r="S98" s="50">
        <f>R98*(1+'Macro - Itaú'!O8)</f>
        <v>154508.34302601215</v>
      </c>
      <c r="T98" s="50">
        <f>S98*(1+'Macro - Itaú'!P8)</f>
        <v>160610.63430987473</v>
      </c>
      <c r="U98" s="50">
        <f>T98*(1+'Macro - Itaú'!Q8)</f>
        <v>166953.93496697766</v>
      </c>
      <c r="V98" s="50">
        <f>U98*(1+'Macro - Itaú'!R8)</f>
        <v>173547.76363799011</v>
      </c>
      <c r="W98" s="50">
        <f>V98*(1+'Macro - Itaú'!S8)</f>
        <v>180402.01490132581</v>
      </c>
    </row>
    <row r="99" spans="3:23" x14ac:dyDescent="0.2">
      <c r="D99" s="97" t="s">
        <v>36</v>
      </c>
      <c r="K99" s="47">
        <f>-Input!V19</f>
        <v>4868</v>
      </c>
      <c r="L99" s="50">
        <f t="shared" si="27"/>
        <v>4868</v>
      </c>
      <c r="M99" s="50">
        <f t="shared" si="28"/>
        <v>9736</v>
      </c>
      <c r="N99" s="50">
        <f>M99*(1+'Macro - Itaú'!J8)</f>
        <v>10178.659500514766</v>
      </c>
      <c r="O99" s="50">
        <f>N99*(1+'Macro - Itaú'!K8)</f>
        <v>10585.805880535361</v>
      </c>
      <c r="P99" s="50">
        <f>O99*(1+'Macro - Itaú'!L8)</f>
        <v>11003.8912064946</v>
      </c>
      <c r="Q99" s="50">
        <f>P99*(1+'Macro - Itaú'!M8)</f>
        <v>11438.488769855041</v>
      </c>
      <c r="R99" s="50">
        <f>Q99*(1+'Macro - Itaú'!N8)</f>
        <v>11890.250719752432</v>
      </c>
      <c r="S99" s="50">
        <f>R99*(1+'Macro - Itaú'!O8)</f>
        <v>12359.854961886273</v>
      </c>
      <c r="T99" s="50">
        <f>S99*(1+'Macro - Itaú'!P8)</f>
        <v>12848.006175772673</v>
      </c>
      <c r="U99" s="50">
        <f>T99*(1+'Macro - Itaú'!Q8)</f>
        <v>13355.436872173517</v>
      </c>
      <c r="V99" s="50">
        <f>U99*(1+'Macro - Itaú'!R8)</f>
        <v>13882.908492288689</v>
      </c>
      <c r="W99" s="50">
        <f>V99*(1+'Macro - Itaú'!S8)</f>
        <v>14431.212550360766</v>
      </c>
    </row>
    <row r="100" spans="3:23" x14ac:dyDescent="0.2">
      <c r="D100" s="97" t="s">
        <v>37</v>
      </c>
      <c r="J100" s="125"/>
      <c r="K100" s="47">
        <f>-Input!V20</f>
        <v>4388</v>
      </c>
      <c r="L100" s="50">
        <f t="shared" si="27"/>
        <v>4388</v>
      </c>
      <c r="M100" s="50">
        <f t="shared" si="28"/>
        <v>8776</v>
      </c>
      <c r="N100" s="50">
        <f>M100*(1+'Macro - Itaú'!J8)</f>
        <v>9175.0118915897292</v>
      </c>
      <c r="O100" s="50">
        <f>N100*(1+'Macro - Itaú'!K8)</f>
        <v>9542.0123672533227</v>
      </c>
      <c r="P100" s="50">
        <f>O100*(1+'Macro - Itaú'!L8)</f>
        <v>9918.8731746298909</v>
      </c>
      <c r="Q100" s="50">
        <f>P100*(1+'Macro - Itaú'!M8)</f>
        <v>10310.618061241561</v>
      </c>
      <c r="R100" s="50">
        <f>Q100*(1+'Macro - Itaú'!N8)</f>
        <v>10717.834872283007</v>
      </c>
      <c r="S100" s="50">
        <f>R100*(1+'Macro - Itaú'!O8)</f>
        <v>11141.134669835039</v>
      </c>
      <c r="T100" s="50">
        <f>S100*(1+'Macro - Itaú'!P8)</f>
        <v>11581.152649813166</v>
      </c>
      <c r="U100" s="50">
        <f>T100*(1+'Macro - Itaú'!Q8)</f>
        <v>12038.549095130937</v>
      </c>
      <c r="V100" s="50">
        <f>U100*(1+'Macro - Itaú'!R8)</f>
        <v>12514.010366508375</v>
      </c>
      <c r="W100" s="50">
        <f>V100*(1+'Macro - Itaú'!S8)</f>
        <v>13008.249932412293</v>
      </c>
    </row>
    <row r="101" spans="3:23" x14ac:dyDescent="0.2">
      <c r="D101" s="97" t="s">
        <v>38</v>
      </c>
      <c r="J101" s="125"/>
      <c r="K101" s="47">
        <f>-Input!V21</f>
        <v>30095</v>
      </c>
      <c r="L101" s="50">
        <f t="shared" si="27"/>
        <v>30095</v>
      </c>
      <c r="M101" s="50">
        <f t="shared" si="28"/>
        <v>60190</v>
      </c>
      <c r="N101" s="50">
        <f>M101*(1+'Macro - Itaú'!J8)</f>
        <v>62926.614147081331</v>
      </c>
      <c r="O101" s="50">
        <f>N101*(1+'Macro - Itaú'!K8)</f>
        <v>65443.678712964611</v>
      </c>
      <c r="P101" s="50">
        <f>O101*(1+'Macro - Itaú'!L8)</f>
        <v>68028.370143684268</v>
      </c>
      <c r="Q101" s="50">
        <f>P101*(1+'Macro - Itaú'!M8)</f>
        <v>70715.143699422246</v>
      </c>
      <c r="R101" s="50">
        <f>Q101*(1+'Macro - Itaú'!N8)</f>
        <v>73508.03110331748</v>
      </c>
      <c r="S101" s="50">
        <f>R101*(1+'Macro - Itaú'!O8)</f>
        <v>76411.223311003996</v>
      </c>
      <c r="T101" s="50">
        <f>S101*(1+'Macro - Itaú'!P8)</f>
        <v>79429.076799482064</v>
      </c>
      <c r="U101" s="50">
        <f>T101*(1+'Macro - Itaú'!Q8)</f>
        <v>82566.120104367728</v>
      </c>
      <c r="V101" s="50">
        <f>U101*(1+'Macro - Itaú'!R8)</f>
        <v>85827.060615330352</v>
      </c>
      <c r="W101" s="50">
        <f>V101*(1+'Macro - Itaú'!S8)</f>
        <v>89216.791639915231</v>
      </c>
    </row>
    <row r="102" spans="3:23" x14ac:dyDescent="0.2">
      <c r="D102" s="97" t="s">
        <v>39</v>
      </c>
      <c r="J102" s="125"/>
      <c r="K102" s="47">
        <f>-Input!V22</f>
        <v>4890</v>
      </c>
      <c r="L102" s="50">
        <f t="shared" si="27"/>
        <v>4890</v>
      </c>
      <c r="M102" s="50">
        <f t="shared" si="28"/>
        <v>9780</v>
      </c>
      <c r="N102" s="50">
        <f>M102*(1+'Macro - Itaú'!J8)</f>
        <v>10224.660015923831</v>
      </c>
      <c r="O102" s="50">
        <f>N102*(1+'Macro - Itaú'!K8)</f>
        <v>10633.64641656079</v>
      </c>
      <c r="P102" s="50">
        <f>O102*(1+'Macro - Itaú'!L8)</f>
        <v>11053.621199621735</v>
      </c>
      <c r="Q102" s="50">
        <f>P102*(1+'Macro - Itaú'!M8)</f>
        <v>11490.182843999828</v>
      </c>
      <c r="R102" s="50">
        <f>Q102*(1+'Macro - Itaú'!N8)</f>
        <v>11943.986446094785</v>
      </c>
      <c r="S102" s="50">
        <f>R102*(1+'Macro - Itaú'!O8)</f>
        <v>12415.712975271959</v>
      </c>
      <c r="T102" s="50">
        <f>S102*(1+'Macro - Itaú'!P8)</f>
        <v>12906.070295712489</v>
      </c>
      <c r="U102" s="50">
        <f>T102*(1+'Macro - Itaú'!Q8)</f>
        <v>13415.794228621309</v>
      </c>
      <c r="V102" s="50">
        <f>U102*(1+'Macro - Itaú'!R8)</f>
        <v>13945.64965638696</v>
      </c>
      <c r="W102" s="50">
        <f>V102*(1+'Macro - Itaú'!S8)</f>
        <v>14496.431670350079</v>
      </c>
    </row>
    <row r="103" spans="3:23" x14ac:dyDescent="0.2">
      <c r="D103" s="97" t="s">
        <v>40</v>
      </c>
      <c r="K103" s="47">
        <f>-Input!V23</f>
        <v>10424</v>
      </c>
      <c r="L103" s="50">
        <f t="shared" si="27"/>
        <v>10424</v>
      </c>
      <c r="M103" s="50">
        <f t="shared" si="28"/>
        <v>20848</v>
      </c>
      <c r="N103" s="50">
        <f>M103*(1+'Macro - Itaú'!J8)</f>
        <v>21795.880573822091</v>
      </c>
      <c r="O103" s="50">
        <f>N103*(1+'Macro - Itaú'!K8)</f>
        <v>22667.715796774984</v>
      </c>
      <c r="P103" s="50">
        <f>O103*(1+'Macro - Itaú'!L8)</f>
        <v>23562.974925328621</v>
      </c>
      <c r="Q103" s="50">
        <f>P103*(1+'Macro - Itaú'!M8)</f>
        <v>24493.592222056071</v>
      </c>
      <c r="R103" s="50">
        <f>Q103*(1+'Macro - Itaú'!N8)</f>
        <v>25460.964154211044</v>
      </c>
      <c r="S103" s="50">
        <f>R103*(1+'Macro - Itaú'!O8)</f>
        <v>26466.542342379318</v>
      </c>
      <c r="T103" s="50">
        <f>S103*(1+'Macro - Itaú'!P8)</f>
        <v>27511.835738753976</v>
      </c>
      <c r="U103" s="50">
        <f>T103*(1+'Macro - Itaú'!Q8)</f>
        <v>28598.412891441407</v>
      </c>
      <c r="V103" s="50">
        <f>U103*(1+'Macro - Itaú'!R8)</f>
        <v>29727.904298195834</v>
      </c>
      <c r="W103" s="50">
        <f>V103*(1+'Macro - Itaú'!S8)</f>
        <v>30902.004853114347</v>
      </c>
    </row>
    <row r="104" spans="3:23" x14ac:dyDescent="0.2">
      <c r="D104" s="97" t="s">
        <v>41</v>
      </c>
      <c r="K104" s="47">
        <f>-Input!V24</f>
        <v>6174</v>
      </c>
      <c r="L104" s="50">
        <f t="shared" si="27"/>
        <v>6174</v>
      </c>
      <c r="M104" s="50">
        <f t="shared" si="28"/>
        <v>12348</v>
      </c>
      <c r="N104" s="50">
        <f>M104*(1+'Macro - Itaú'!J8)</f>
        <v>12909.41736979831</v>
      </c>
      <c r="O104" s="50">
        <f>N104*(1+'Macro - Itaú'!K8)</f>
        <v>13425.794064590249</v>
      </c>
      <c r="P104" s="50">
        <f>O104*(1+'Macro - Itaú'!L8)</f>
        <v>13956.044434859834</v>
      </c>
      <c r="Q104" s="50">
        <f>P104*(1+'Macro - Itaú'!M8)</f>
        <v>14507.236989540886</v>
      </c>
      <c r="R104" s="50">
        <f>Q104*(1+'Macro - Itaú'!N8)</f>
        <v>15080.198838075499</v>
      </c>
      <c r="S104" s="50">
        <f>R104*(1+'Macro - Itaú'!O8)</f>
        <v>15675.78975650901</v>
      </c>
      <c r="T104" s="50">
        <f>S104*(1+'Macro - Itaú'!P8)</f>
        <v>16294.903477654168</v>
      </c>
      <c r="U104" s="50">
        <f>T104*(1+'Macro - Itaú'!Q8)</f>
        <v>16938.469032210211</v>
      </c>
      <c r="V104" s="50">
        <f>U104*(1+'Macro - Itaú'!R8)</f>
        <v>17607.452142849295</v>
      </c>
      <c r="W104" s="50">
        <f>V104*(1+'Macro - Itaú'!S8)</f>
        <v>18302.856673362239</v>
      </c>
    </row>
    <row r="105" spans="3:23" x14ac:dyDescent="0.2">
      <c r="D105" s="97" t="s">
        <v>42</v>
      </c>
      <c r="K105" s="47">
        <f>-Input!V25</f>
        <v>5219</v>
      </c>
      <c r="L105" s="50">
        <f t="shared" si="27"/>
        <v>5219</v>
      </c>
      <c r="M105" s="50">
        <f t="shared" si="28"/>
        <v>10438</v>
      </c>
      <c r="N105" s="50">
        <f>M105*(1+'Macro - Itaú'!J8)</f>
        <v>10912.576814541202</v>
      </c>
      <c r="O105" s="50">
        <f>N105*(1+'Macro - Itaú'!K8)</f>
        <v>11349.079887122856</v>
      </c>
      <c r="P105" s="50">
        <f>O105*(1+'Macro - Itaú'!L8)</f>
        <v>11797.310642295672</v>
      </c>
      <c r="Q105" s="50">
        <f>P105*(1+'Macro - Itaú'!M8)</f>
        <v>12263.24422552865</v>
      </c>
      <c r="R105" s="50">
        <f>Q105*(1+'Macro - Itaú'!N8)</f>
        <v>12747.579808214452</v>
      </c>
      <c r="S105" s="50">
        <f>R105*(1+'Macro - Itaú'!O8)</f>
        <v>13251.04417544874</v>
      </c>
      <c r="T105" s="50">
        <f>S105*(1+'Macro - Itaú'!P8)</f>
        <v>13774.392816630565</v>
      </c>
      <c r="U105" s="50">
        <f>T105*(1+'Macro - Itaú'!Q8)</f>
        <v>14318.411059135909</v>
      </c>
      <c r="V105" s="50">
        <f>U105*(1+'Macro - Itaú'!R8)</f>
        <v>14883.915246765548</v>
      </c>
      <c r="W105" s="50">
        <f>V105*(1+'Macro - Itaú'!S8)</f>
        <v>15471.753964735592</v>
      </c>
    </row>
    <row r="106" spans="3:23" x14ac:dyDescent="0.2">
      <c r="D106" s="97" t="s">
        <v>43</v>
      </c>
      <c r="I106" s="109"/>
      <c r="J106" s="125"/>
      <c r="K106" s="47">
        <f>-Input!V26</f>
        <v>731</v>
      </c>
      <c r="L106" s="50">
        <f t="shared" si="27"/>
        <v>731</v>
      </c>
      <c r="M106" s="50">
        <f t="shared" si="28"/>
        <v>1462</v>
      </c>
      <c r="N106" s="50">
        <f>M106*(1+'Macro - Itaú'!J8)</f>
        <v>1528.4716710920902</v>
      </c>
      <c r="O106" s="50">
        <f>N106*(1+'Macro - Itaú'!K8)</f>
        <v>1589.6105379357746</v>
      </c>
      <c r="P106" s="50">
        <f>O106*(1+'Macro - Itaú'!L8)</f>
        <v>1652.3920443606314</v>
      </c>
      <c r="Q106" s="50">
        <f>P106*(1+'Macro - Itaú'!M8)</f>
        <v>1717.6530999926122</v>
      </c>
      <c r="R106" s="50">
        <f>Q106*(1+'Macro - Itaú'!N8)</f>
        <v>1785.4916343753141</v>
      </c>
      <c r="S106" s="50">
        <f>R106*(1+'Macro - Itaú'!O8)</f>
        <v>1856.0094447696933</v>
      </c>
      <c r="T106" s="50">
        <f>S106*(1+'Macro - Itaú'!P8)</f>
        <v>1929.3123489091672</v>
      </c>
      <c r="U106" s="50">
        <f>T106*(1+'Macro - Itaú'!Q8)</f>
        <v>2005.5103437877658</v>
      </c>
      <c r="V106" s="50">
        <f>U106*(1+'Macro - Itaú'!R8)</f>
        <v>2084.7177707196042</v>
      </c>
      <c r="W106" s="50">
        <f>V106*(1+'Macro - Itaú'!S8)</f>
        <v>2167.0534869173625</v>
      </c>
    </row>
    <row r="107" spans="3:23" x14ac:dyDescent="0.2">
      <c r="D107" s="97" t="s">
        <v>44</v>
      </c>
      <c r="I107" s="109"/>
      <c r="J107" s="125"/>
      <c r="K107" s="47">
        <f>-Input!V27</f>
        <v>2643</v>
      </c>
      <c r="L107" s="50">
        <f t="shared" si="27"/>
        <v>2643</v>
      </c>
      <c r="M107" s="50">
        <f t="shared" si="28"/>
        <v>5286</v>
      </c>
      <c r="N107" s="50">
        <f>M107*(1+'Macro - Itaú'!J8)</f>
        <v>5526.3346466434941</v>
      </c>
      <c r="O107" s="50">
        <f>N107*(1+'Macro - Itaú'!K8)</f>
        <v>5747.3880325092368</v>
      </c>
      <c r="P107" s="50">
        <f>O107*(1+'Macro - Itaú'!L8)</f>
        <v>5974.3805379550604</v>
      </c>
      <c r="Q107" s="50">
        <f>P107*(1+'Macro - Itaú'!M8)</f>
        <v>6210.3380893029744</v>
      </c>
      <c r="R107" s="50">
        <f>Q107*(1+'Macro - Itaú'!N8)</f>
        <v>6455.6147601285302</v>
      </c>
      <c r="S107" s="50">
        <f>R107*(1+'Macro - Itaú'!O8)</f>
        <v>6710.5786081071128</v>
      </c>
      <c r="T107" s="50">
        <f>S107*(1+'Macro - Itaú'!P8)</f>
        <v>6975.6122273145402</v>
      </c>
      <c r="U107" s="50">
        <f>T107*(1+'Macro - Itaú'!Q8)</f>
        <v>7251.1133223407187</v>
      </c>
      <c r="V107" s="50">
        <f>U107*(1+'Macro - Itaú'!R8)</f>
        <v>7537.4953050778586</v>
      </c>
      <c r="W107" s="50">
        <f>V107*(1+'Macro - Itaú'!S8)</f>
        <v>7835.1879150787827</v>
      </c>
    </row>
    <row r="108" spans="3:23" x14ac:dyDescent="0.2">
      <c r="I108" s="109"/>
      <c r="J108" s="125"/>
      <c r="K108" s="47"/>
      <c r="L108" s="50"/>
      <c r="M108" s="50"/>
      <c r="N108" s="50"/>
      <c r="O108" s="50"/>
      <c r="P108" s="50"/>
      <c r="Q108" s="50"/>
      <c r="R108" s="50"/>
      <c r="S108" s="50"/>
    </row>
    <row r="109" spans="3:23" x14ac:dyDescent="0.2">
      <c r="K109" s="47"/>
      <c r="L109" s="50"/>
      <c r="M109" s="50"/>
      <c r="N109" s="50"/>
      <c r="O109" s="50"/>
      <c r="P109" s="50"/>
      <c r="Q109" s="50"/>
      <c r="R109" s="50"/>
      <c r="S109" s="50"/>
    </row>
    <row r="110" spans="3:23" x14ac:dyDescent="0.2">
      <c r="C110" s="10"/>
      <c r="D110" s="13" t="s">
        <v>128</v>
      </c>
      <c r="E110" s="11"/>
      <c r="F110" s="11"/>
      <c r="G110" s="11"/>
      <c r="H110" s="11"/>
      <c r="I110" s="11"/>
      <c r="J110" s="39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</row>
    <row r="111" spans="3:23" x14ac:dyDescent="0.2">
      <c r="K111" s="47"/>
      <c r="L111" s="50"/>
      <c r="M111" s="50"/>
      <c r="N111" s="50"/>
      <c r="O111" s="50"/>
      <c r="P111" s="50"/>
      <c r="Q111" s="50"/>
      <c r="R111" s="50"/>
      <c r="S111" s="50"/>
    </row>
    <row r="112" spans="3:23" x14ac:dyDescent="0.2">
      <c r="D112" s="97" t="s">
        <v>48</v>
      </c>
      <c r="K112" s="47">
        <f>-Input!V34</f>
        <v>16200</v>
      </c>
      <c r="L112" s="50">
        <f t="shared" ref="L112:L118" si="29">K112</f>
        <v>16200</v>
      </c>
      <c r="M112" s="50">
        <f t="shared" ref="M112:M121" si="30">K112+L112</f>
        <v>32400</v>
      </c>
      <c r="N112" s="50">
        <f>M112*(1+'Macro - Itaú'!J9)</f>
        <v>33793.369225427108</v>
      </c>
      <c r="O112" s="50">
        <f>N112*(1+'Macro - Itaú'!K9)</f>
        <v>35145.103994444238</v>
      </c>
      <c r="P112" s="50">
        <f>O112*(1+'Macro - Itaú'!L9)</f>
        <v>36375.182634249817</v>
      </c>
      <c r="Q112" s="50">
        <f>P112*(1+'Macro - Itaú'!M9)</f>
        <v>37648.314026448592</v>
      </c>
      <c r="R112" s="50">
        <f>Q112*(1+'Macro - Itaú'!N9)</f>
        <v>38966.005017374322</v>
      </c>
      <c r="S112" s="50">
        <f>R112*(1+'Macro - Itaú'!O9)</f>
        <v>40329.815192982453</v>
      </c>
      <c r="T112" s="50">
        <f>S112*(1+'Macro - Itaú'!P9)</f>
        <v>41741.35872473687</v>
      </c>
      <c r="U112" s="50">
        <f>T112*(1+'Macro - Itaú'!Q9)</f>
        <v>43202.306280102697</v>
      </c>
      <c r="V112" s="50">
        <f>U112*(1+'Macro - Itaú'!R9)</f>
        <v>44714.386999906324</v>
      </c>
      <c r="W112" s="50">
        <f>V112*(1+'Macro - Itaú'!S9)</f>
        <v>46279.390544903079</v>
      </c>
    </row>
    <row r="113" spans="3:23" x14ac:dyDescent="0.2">
      <c r="D113" s="97" t="s">
        <v>49</v>
      </c>
      <c r="K113" s="47">
        <f>-Input!V35</f>
        <v>1776</v>
      </c>
      <c r="L113" s="50">
        <f t="shared" si="29"/>
        <v>1776</v>
      </c>
      <c r="M113" s="50">
        <f t="shared" si="30"/>
        <v>3552</v>
      </c>
      <c r="N113" s="50">
        <f>M113*(1+'Macro - Itaú'!J8)</f>
        <v>3713.4961530226433</v>
      </c>
      <c r="O113" s="50">
        <f>N113*(1+'Macro - Itaú'!K8)</f>
        <v>3862.0359991435507</v>
      </c>
      <c r="P113" s="50">
        <f>O113*(1+'Macro - Itaú'!L8)</f>
        <v>4014.5667178994272</v>
      </c>
      <c r="Q113" s="50">
        <f>P113*(1+'Macro - Itaú'!M8)</f>
        <v>4173.1216218698755</v>
      </c>
      <c r="R113" s="50">
        <f>Q113*(1+'Macro - Itaú'!N8)</f>
        <v>4337.9386356368777</v>
      </c>
      <c r="S113" s="50">
        <f>R113*(1+'Macro - Itaú'!O8)</f>
        <v>4509.2650805895692</v>
      </c>
      <c r="T113" s="50">
        <f>S113*(1+'Macro - Itaú'!P8)</f>
        <v>4687.3580460501789</v>
      </c>
      <c r="U113" s="50">
        <f>T113*(1+'Macro - Itaú'!Q8)</f>
        <v>4872.4847750575536</v>
      </c>
      <c r="V113" s="50">
        <f>U113*(1+'Macro - Itaú'!R8)</f>
        <v>5064.9230653871646</v>
      </c>
      <c r="W113" s="50">
        <f>V113*(1+'Macro - Itaú'!S8)</f>
        <v>5264.9616864093523</v>
      </c>
    </row>
    <row r="114" spans="3:23" x14ac:dyDescent="0.2">
      <c r="D114" s="97" t="s">
        <v>50</v>
      </c>
      <c r="K114" s="47">
        <f>-Input!V36</f>
        <v>4388</v>
      </c>
      <c r="L114" s="50">
        <f t="shared" si="29"/>
        <v>4388</v>
      </c>
      <c r="M114" s="50">
        <f t="shared" si="30"/>
        <v>8776</v>
      </c>
      <c r="N114" s="50">
        <f>M114*(1+'Macro - Itaú'!J8)</f>
        <v>9175.0118915897292</v>
      </c>
      <c r="O114" s="50">
        <f>N114*(1+'Macro - Itaú'!K8)</f>
        <v>9542.0123672533227</v>
      </c>
      <c r="P114" s="50">
        <f>O114*(1+'Macro - Itaú'!L8)</f>
        <v>9918.8731746298909</v>
      </c>
      <c r="Q114" s="50">
        <f>P114*(1+'Macro - Itaú'!M8)</f>
        <v>10310.618061241561</v>
      </c>
      <c r="R114" s="50">
        <f>Q114*(1+'Macro - Itaú'!N8)</f>
        <v>10717.834872283007</v>
      </c>
      <c r="S114" s="50">
        <f>R114*(1+'Macro - Itaú'!O8)</f>
        <v>11141.134669835039</v>
      </c>
      <c r="T114" s="50">
        <f>S114*(1+'Macro - Itaú'!P8)</f>
        <v>11581.152649813166</v>
      </c>
      <c r="U114" s="50">
        <f>T114*(1+'Macro - Itaú'!Q8)</f>
        <v>12038.549095130937</v>
      </c>
      <c r="V114" s="50">
        <f>U114*(1+'Macro - Itaú'!R8)</f>
        <v>12514.010366508375</v>
      </c>
      <c r="W114" s="50">
        <f>V114*(1+'Macro - Itaú'!S8)</f>
        <v>13008.249932412293</v>
      </c>
    </row>
    <row r="115" spans="3:23" x14ac:dyDescent="0.2">
      <c r="D115" s="97" t="s">
        <v>51</v>
      </c>
      <c r="K115" s="47">
        <f>-Input!V37</f>
        <v>1379</v>
      </c>
      <c r="L115" s="50">
        <f t="shared" si="29"/>
        <v>1379</v>
      </c>
      <c r="M115" s="50">
        <f t="shared" si="30"/>
        <v>2758</v>
      </c>
      <c r="N115" s="50">
        <f>M115*(1+'Macro - Itaú'!J8)</f>
        <v>2883.3959431408925</v>
      </c>
      <c r="O115" s="50">
        <f>N115*(1+'Macro - Itaú'!K8)</f>
        <v>2998.7317808665298</v>
      </c>
      <c r="P115" s="50">
        <f>O115*(1+'Macro - Itaú'!L8)</f>
        <v>3117.1663873779903</v>
      </c>
      <c r="Q115" s="50">
        <f>P115*(1+'Macro - Itaú'!M8)</f>
        <v>3240.2785566208104</v>
      </c>
      <c r="R115" s="50">
        <f>Q115*(1+'Macro - Itaú'!N8)</f>
        <v>3368.2530284590403</v>
      </c>
      <c r="S115" s="50">
        <f>R115*(1+'Macro - Itaú'!O8)</f>
        <v>3501.2818390388607</v>
      </c>
      <c r="T115" s="50">
        <f>S115*(1+'Macro - Itaú'!P8)</f>
        <v>3639.564608954503</v>
      </c>
      <c r="U115" s="50">
        <f>T115*(1+'Macro - Itaú'!Q8)</f>
        <v>3783.3088427952521</v>
      </c>
      <c r="V115" s="50">
        <f>U115*(1+'Macro - Itaú'!R8)</f>
        <v>3932.7302405230298</v>
      </c>
      <c r="W115" s="50">
        <f>V115*(1+'Macro - Itaú'!S8)</f>
        <v>4088.0530211478026</v>
      </c>
    </row>
    <row r="116" spans="3:23" x14ac:dyDescent="0.2">
      <c r="D116" s="97" t="s">
        <v>52</v>
      </c>
      <c r="K116" s="47">
        <f>-Input!V38</f>
        <v>815</v>
      </c>
      <c r="L116" s="50">
        <f t="shared" si="29"/>
        <v>815</v>
      </c>
      <c r="M116" s="50">
        <f t="shared" si="30"/>
        <v>1630</v>
      </c>
      <c r="N116" s="50">
        <f>M116*(1+'Macro - Itaú'!J8)</f>
        <v>1704.1100026539718</v>
      </c>
      <c r="O116" s="50">
        <f>N116*(1+'Macro - Itaú'!K8)</f>
        <v>1772.2744027601316</v>
      </c>
      <c r="P116" s="50">
        <f>O116*(1+'Macro - Itaú'!L8)</f>
        <v>1842.2701999369556</v>
      </c>
      <c r="Q116" s="50">
        <f>P116*(1+'Macro - Itaú'!M8)</f>
        <v>1915.030473999971</v>
      </c>
      <c r="R116" s="50">
        <f>Q116*(1+'Macro - Itaú'!N8)</f>
        <v>1990.6644076824637</v>
      </c>
      <c r="S116" s="50">
        <f>R116*(1+'Macro - Itaú'!O8)</f>
        <v>2069.2854958786593</v>
      </c>
      <c r="T116" s="50">
        <f>S116*(1+'Macro - Itaú'!P8)</f>
        <v>2151.011715952081</v>
      </c>
      <c r="U116" s="50">
        <f>T116*(1+'Macro - Itaú'!Q8)</f>
        <v>2235.9657047702176</v>
      </c>
      <c r="V116" s="50">
        <f>U116*(1+'Macro - Itaú'!R8)</f>
        <v>2324.2749427311596</v>
      </c>
      <c r="W116" s="50">
        <f>V116*(1+'Macro - Itaú'!S8)</f>
        <v>2416.071945058346</v>
      </c>
    </row>
    <row r="117" spans="3:23" x14ac:dyDescent="0.2">
      <c r="D117" s="97" t="s">
        <v>53</v>
      </c>
      <c r="K117" s="47">
        <f>-Input!V39</f>
        <v>993</v>
      </c>
      <c r="L117" s="50">
        <f t="shared" si="29"/>
        <v>993</v>
      </c>
      <c r="M117" s="50">
        <f t="shared" si="30"/>
        <v>1986</v>
      </c>
      <c r="N117" s="50">
        <f>M117*(1+'Macro - Itaú'!J8)</f>
        <v>2076.2959909636738</v>
      </c>
      <c r="O117" s="50">
        <f>N117*(1+'Macro - Itaú'!K8)</f>
        <v>2159.3478306022216</v>
      </c>
      <c r="P117" s="50">
        <f>O117*(1+'Macro - Itaú'!L8)</f>
        <v>2244.6310534201189</v>
      </c>
      <c r="Q117" s="50">
        <f>P117*(1+'Macro - Itaú'!M8)</f>
        <v>2333.2825284441365</v>
      </c>
      <c r="R117" s="50">
        <f>Q117*(1+'Macro - Itaú'!N8)</f>
        <v>2425.435284452376</v>
      </c>
      <c r="S117" s="50">
        <f>R117*(1+'Macro - Itaú'!O8)</f>
        <v>2521.2276041809923</v>
      </c>
      <c r="T117" s="50">
        <f>S117*(1+'Macro - Itaú'!P8)</f>
        <v>2620.8032318287319</v>
      </c>
      <c r="U117" s="50">
        <f>T117*(1+'Macro - Itaú'!Q8)</f>
        <v>2724.311588756842</v>
      </c>
      <c r="V117" s="50">
        <f>U117*(1+'Macro - Itaú'!R8)</f>
        <v>2831.9079977080264</v>
      </c>
      <c r="W117" s="50">
        <f>V117*(1+'Macro - Itaú'!S8)</f>
        <v>2943.753915880905</v>
      </c>
    </row>
    <row r="118" spans="3:23" x14ac:dyDescent="0.2">
      <c r="D118" s="97" t="s">
        <v>54</v>
      </c>
      <c r="K118" s="47">
        <f>-Input!V40</f>
        <v>1097</v>
      </c>
      <c r="L118" s="50">
        <f t="shared" si="29"/>
        <v>1097</v>
      </c>
      <c r="M118" s="50">
        <f t="shared" si="30"/>
        <v>2194</v>
      </c>
      <c r="N118" s="50">
        <f>M118*(1+'Macro - Itaú'!J8)</f>
        <v>2293.7529728974323</v>
      </c>
      <c r="O118" s="50">
        <f>N118*(1+'Macro - Itaú'!K8)</f>
        <v>2385.5030918133307</v>
      </c>
      <c r="P118" s="50">
        <f>O118*(1+'Macro - Itaú'!L8)</f>
        <v>2479.7182936574727</v>
      </c>
      <c r="Q118" s="50">
        <f>P118*(1+'Macro - Itaú'!M8)</f>
        <v>2577.6545153103903</v>
      </c>
      <c r="R118" s="50">
        <f>Q118*(1+'Macro - Itaú'!N8)</f>
        <v>2679.4587180707517</v>
      </c>
      <c r="S118" s="50">
        <f>R118*(1+'Macro - Itaú'!O8)</f>
        <v>2785.2836674587597</v>
      </c>
      <c r="T118" s="50">
        <f>S118*(1+'Macro - Itaú'!P8)</f>
        <v>2895.2881624532915</v>
      </c>
      <c r="U118" s="50">
        <f>T118*(1+'Macro - Itaú'!Q8)</f>
        <v>3009.6372737827342</v>
      </c>
      <c r="V118" s="50">
        <f>U118*(1+'Macro - Itaú'!R8)</f>
        <v>3128.5025916270938</v>
      </c>
      <c r="W118" s="50">
        <f>V118*(1+'Macro - Itaú'!S8)</f>
        <v>3252.0624831030732</v>
      </c>
    </row>
    <row r="119" spans="3:23" x14ac:dyDescent="0.2">
      <c r="D119" s="97" t="s">
        <v>55</v>
      </c>
      <c r="K119" s="47">
        <f>-Input!V41</f>
        <v>470</v>
      </c>
      <c r="L119" s="50">
        <v>544.36</v>
      </c>
      <c r="M119" s="50">
        <f t="shared" si="30"/>
        <v>1014.36</v>
      </c>
      <c r="N119" s="50">
        <f>M119*(1+'Macro - Itaú'!J8)</f>
        <v>1060.4791547804191</v>
      </c>
      <c r="O119" s="50">
        <f>N119*(1+'Macro - Itaú'!K8)</f>
        <v>1102.8983209716364</v>
      </c>
      <c r="P119" s="50">
        <f>O119*(1+'Macro - Itaú'!L8)</f>
        <v>1146.4571779190494</v>
      </c>
      <c r="Q119" s="50">
        <f>P119*(1+'Macro - Itaú'!M8)</f>
        <v>1191.7363874887183</v>
      </c>
      <c r="R119" s="50">
        <f>Q119*(1+'Macro - Itaú'!N8)</f>
        <v>1238.8038948323829</v>
      </c>
      <c r="S119" s="50">
        <f>R119*(1+'Macro - Itaú'!O8)</f>
        <v>1287.7303285886362</v>
      </c>
      <c r="T119" s="50">
        <f>S119*(1+'Macro - Itaú'!P8)</f>
        <v>1338.589106866965</v>
      </c>
      <c r="U119" s="50">
        <f>T119*(1+'Macro - Itaú'!Q8)</f>
        <v>1391.4565474176184</v>
      </c>
      <c r="V119" s="50">
        <f>U119*(1+'Macro - Itaú'!R8)</f>
        <v>1446.4119821526251</v>
      </c>
      <c r="W119" s="50">
        <f>V119*(1+'Macro - Itaú'!S8)</f>
        <v>1503.537876189806</v>
      </c>
    </row>
    <row r="120" spans="3:23" x14ac:dyDescent="0.2">
      <c r="D120" s="97" t="s">
        <v>56</v>
      </c>
      <c r="K120" s="47">
        <f>-Input!V42</f>
        <v>12000</v>
      </c>
      <c r="L120" s="50">
        <f>K120</f>
        <v>12000</v>
      </c>
      <c r="M120" s="50">
        <f t="shared" si="30"/>
        <v>24000</v>
      </c>
      <c r="N120" s="50">
        <f>M120*(1+'Macro - Itaú'!J8)</f>
        <v>25091.190223125966</v>
      </c>
      <c r="O120" s="50">
        <f>N120*(1+'Macro - Itaú'!K8)</f>
        <v>26094.837832051016</v>
      </c>
      <c r="P120" s="50">
        <f>O120*(1+'Macro - Itaú'!L8)</f>
        <v>27125.450796617752</v>
      </c>
      <c r="Q120" s="50">
        <f>P120*(1+'Macro - Itaú'!M8)</f>
        <v>28196.767715336999</v>
      </c>
      <c r="R120" s="50">
        <f>Q120*(1+'Macro - Itaú'!N8)</f>
        <v>29310.396186735663</v>
      </c>
      <c r="S120" s="50">
        <f>R120*(1+'Macro - Itaú'!O8)</f>
        <v>30468.007301280875</v>
      </c>
      <c r="T120" s="50">
        <f>S120*(1+'Macro - Itaú'!P8)</f>
        <v>31671.338148987696</v>
      </c>
      <c r="U120" s="50">
        <f>T120*(1+'Macro - Itaú'!Q8)</f>
        <v>32922.194426064554</v>
      </c>
      <c r="V120" s="50">
        <f>U120*(1+'Macro - Itaú'!R8)</f>
        <v>34222.453144507868</v>
      </c>
      <c r="W120" s="50">
        <f>V120*(1+'Macro - Itaú'!S8)</f>
        <v>35574.065448711837</v>
      </c>
    </row>
    <row r="121" spans="3:23" x14ac:dyDescent="0.2">
      <c r="D121" s="97" t="s">
        <v>57</v>
      </c>
      <c r="K121" s="47">
        <f>-Input!V43</f>
        <v>1254</v>
      </c>
      <c r="L121" s="50">
        <f>K121</f>
        <v>1254</v>
      </c>
      <c r="M121" s="50">
        <f t="shared" si="30"/>
        <v>2508</v>
      </c>
      <c r="N121" s="50">
        <f>M121*(1+'Macro - Itaú'!J8)</f>
        <v>2622.0293783166635</v>
      </c>
      <c r="O121" s="50">
        <f>N121*(1+'Macro - Itaú'!K8)</f>
        <v>2726.9105534493315</v>
      </c>
      <c r="P121" s="50">
        <f>O121*(1+'Macro - Itaú'!L8)</f>
        <v>2834.6096082465551</v>
      </c>
      <c r="Q121" s="50">
        <f>P121*(1+'Macro - Itaú'!M8)</f>
        <v>2946.5622262527163</v>
      </c>
      <c r="R121" s="50">
        <f>Q121*(1+'Macro - Itaú'!N8)</f>
        <v>3062.9364015138767</v>
      </c>
      <c r="S121" s="50">
        <f>R121*(1+'Macro - Itaú'!O8)</f>
        <v>3183.9067629838514</v>
      </c>
      <c r="T121" s="50">
        <f>S121*(1+'Macro - Itaú'!P8)</f>
        <v>3309.6548365692142</v>
      </c>
      <c r="U121" s="50">
        <f>T121*(1+'Macro - Itaú'!Q8)</f>
        <v>3440.3693175237458</v>
      </c>
      <c r="V121" s="50">
        <f>U121*(1+'Macro - Itaú'!R8)</f>
        <v>3576.2463536010723</v>
      </c>
      <c r="W121" s="50">
        <f>V121*(1+'Macro - Itaú'!S8)</f>
        <v>3717.4898393903873</v>
      </c>
    </row>
    <row r="122" spans="3:23" x14ac:dyDescent="0.2">
      <c r="D122" s="1" t="s">
        <v>436</v>
      </c>
      <c r="K122" s="47"/>
      <c r="L122" s="50">
        <v>600</v>
      </c>
      <c r="M122" s="50">
        <f>L122+K122</f>
        <v>600</v>
      </c>
      <c r="N122" s="50">
        <f>M122*(1+'Macro - Itaú'!$J$13)</f>
        <v>675</v>
      </c>
      <c r="O122" s="50">
        <f>N122*(1+'Macro - Itaú'!$J$13)</f>
        <v>759.375</v>
      </c>
      <c r="P122" s="50">
        <f>O122*(1+'Macro - Itaú'!$J$13)</f>
        <v>854.296875</v>
      </c>
      <c r="Q122" s="50">
        <f>P122*(1+'Macro - Itaú'!$J$13)</f>
        <v>961.083984375</v>
      </c>
      <c r="R122" s="50">
        <f>Q122*(1+'Macro - Itaú'!$J$13)</f>
        <v>1081.219482421875</v>
      </c>
      <c r="S122" s="50">
        <f>R122*(1+'Macro - Itaú'!$J$13)</f>
        <v>1216.3719177246094</v>
      </c>
      <c r="T122" s="50">
        <f>S122*(1+'Macro - Itaú'!$J$13)</f>
        <v>1368.4184074401855</v>
      </c>
      <c r="U122" s="50">
        <f>T122*(1+'Macro - Itaú'!$J$13)</f>
        <v>1539.4707083702087</v>
      </c>
      <c r="V122" s="50">
        <f>U122*(1+'Macro - Itaú'!$J$13)</f>
        <v>1731.9045469164848</v>
      </c>
      <c r="W122" s="50">
        <f>V122*(1+'Macro - Itaú'!$J$13)</f>
        <v>1948.3926152810454</v>
      </c>
    </row>
    <row r="123" spans="3:23" x14ac:dyDescent="0.2">
      <c r="D123" s="1" t="s">
        <v>437</v>
      </c>
      <c r="K123" s="47">
        <v>0</v>
      </c>
      <c r="L123" s="50">
        <v>4000</v>
      </c>
      <c r="M123" s="50">
        <f>4000</f>
        <v>4000</v>
      </c>
      <c r="N123" s="50">
        <f>M123*(1+'Macro - Itaú'!$J$13)</f>
        <v>4500</v>
      </c>
      <c r="O123" s="50">
        <f>N123*(1+'Macro - Itaú'!$J$13)</f>
        <v>5062.5</v>
      </c>
      <c r="P123" s="50">
        <f>O123*(1+'Macro - Itaú'!$J$13)</f>
        <v>5695.3125</v>
      </c>
      <c r="Q123" s="50">
        <f>P123*(1+'Macro - Itaú'!$J$13)</f>
        <v>6407.2265625</v>
      </c>
      <c r="R123" s="50">
        <f>Q123*(1+'Macro - Itaú'!$J$13)</f>
        <v>7208.1298828125</v>
      </c>
      <c r="S123" s="50">
        <f>R123*(1+'Macro - Itaú'!$J$13)</f>
        <v>8109.1461181640625</v>
      </c>
      <c r="T123" s="50">
        <f>S123*(1+'Macro - Itaú'!$J$13)</f>
        <v>9122.7893829345703</v>
      </c>
      <c r="U123" s="50">
        <f>T123*(1+'Macro - Itaú'!$J$13)</f>
        <v>10263.138055801392</v>
      </c>
      <c r="V123" s="50">
        <f>U123*(1+'Macro - Itaú'!$J$13)</f>
        <v>11546.030312776566</v>
      </c>
      <c r="W123" s="50">
        <f>V123*(1+'Macro - Itaú'!$J$13)</f>
        <v>12989.284101873636</v>
      </c>
    </row>
    <row r="124" spans="3:23" x14ac:dyDescent="0.2">
      <c r="K124" s="47"/>
      <c r="L124" s="50"/>
      <c r="M124" s="50"/>
      <c r="N124" s="50"/>
      <c r="O124" s="50"/>
      <c r="P124" s="50"/>
      <c r="Q124" s="50"/>
      <c r="R124" s="50"/>
      <c r="S124" s="50"/>
    </row>
    <row r="125" spans="3:23" x14ac:dyDescent="0.2">
      <c r="K125" s="47"/>
      <c r="L125" s="50"/>
      <c r="M125" s="50"/>
      <c r="N125" s="50"/>
      <c r="O125" s="50"/>
      <c r="P125" s="50"/>
      <c r="Q125" s="50"/>
      <c r="R125" s="50"/>
      <c r="S125" s="50"/>
    </row>
    <row r="126" spans="3:23" s="35" customFormat="1" x14ac:dyDescent="0.2">
      <c r="C126" s="183"/>
      <c r="D126" s="13" t="s">
        <v>129</v>
      </c>
      <c r="E126" s="127"/>
      <c r="F126" s="127"/>
      <c r="G126" s="127"/>
      <c r="H126" s="127" t="s">
        <v>332</v>
      </c>
      <c r="I126" s="127" t="s">
        <v>322</v>
      </c>
      <c r="J126" s="128" t="s">
        <v>320</v>
      </c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</row>
    <row r="127" spans="3:23" s="130" customFormat="1" x14ac:dyDescent="0.2">
      <c r="D127" s="131"/>
      <c r="E127" s="130" t="s">
        <v>321</v>
      </c>
      <c r="J127" s="134"/>
      <c r="K127" s="132"/>
      <c r="L127" s="132"/>
      <c r="M127" s="132"/>
      <c r="N127" s="132"/>
      <c r="O127" s="132"/>
      <c r="P127" s="132"/>
      <c r="Q127" s="132"/>
      <c r="R127" s="132"/>
      <c r="S127" s="132"/>
    </row>
    <row r="128" spans="3:23" s="130" customFormat="1" x14ac:dyDescent="0.2">
      <c r="D128" s="131"/>
      <c r="J128" s="134"/>
      <c r="K128" s="132"/>
      <c r="L128" s="132"/>
      <c r="M128" s="132"/>
      <c r="N128" s="132"/>
      <c r="O128" s="132"/>
      <c r="P128" s="132"/>
      <c r="Q128" s="132"/>
      <c r="R128" s="132"/>
      <c r="S128" s="132"/>
    </row>
    <row r="129" spans="4:23" s="130" customFormat="1" x14ac:dyDescent="0.2">
      <c r="D129" s="143"/>
      <c r="E129" s="185" t="s">
        <v>330</v>
      </c>
      <c r="F129" s="186"/>
      <c r="G129" s="186"/>
      <c r="H129" s="186"/>
      <c r="I129" s="186"/>
      <c r="J129" s="187"/>
      <c r="K129" s="172">
        <f>SUM(K131:K147)</f>
        <v>221100</v>
      </c>
      <c r="L129" s="186"/>
      <c r="M129" s="186"/>
      <c r="N129" s="186"/>
      <c r="O129" s="144"/>
      <c r="P129" s="144"/>
      <c r="Q129" s="144"/>
      <c r="R129" s="144"/>
      <c r="S129" s="144"/>
      <c r="T129" s="143"/>
      <c r="U129" s="143"/>
      <c r="V129" s="143"/>
      <c r="W129" s="143"/>
    </row>
    <row r="130" spans="4:23" s="130" customFormat="1" x14ac:dyDescent="0.2">
      <c r="E130" s="188"/>
      <c r="F130" s="189"/>
      <c r="G130" s="189"/>
      <c r="H130" s="189"/>
      <c r="I130" s="189"/>
      <c r="J130" s="190"/>
      <c r="K130" s="191"/>
      <c r="L130" s="189"/>
      <c r="M130" s="189"/>
      <c r="N130" s="189"/>
      <c r="O130" s="132"/>
      <c r="P130" s="132"/>
      <c r="Q130" s="132"/>
      <c r="R130" s="132"/>
      <c r="S130" s="132"/>
    </row>
    <row r="131" spans="4:23" x14ac:dyDescent="0.2">
      <c r="D131" s="16"/>
      <c r="E131" s="192" t="s">
        <v>315</v>
      </c>
      <c r="F131" s="133"/>
      <c r="G131" s="133"/>
      <c r="H131" s="193">
        <v>8000</v>
      </c>
      <c r="I131" s="194" t="s">
        <v>304</v>
      </c>
      <c r="J131" s="195">
        <v>1</v>
      </c>
      <c r="K131" s="173">
        <f>J131*H131</f>
        <v>8000</v>
      </c>
      <c r="L131" s="133"/>
      <c r="M131" s="133"/>
      <c r="N131" s="133"/>
      <c r="O131" s="47"/>
      <c r="P131" s="47"/>
      <c r="Q131" s="47"/>
      <c r="R131" s="47"/>
      <c r="S131" s="47"/>
    </row>
    <row r="132" spans="4:23" x14ac:dyDescent="0.2">
      <c r="D132" s="16"/>
      <c r="E132" s="192" t="s">
        <v>309</v>
      </c>
      <c r="F132" s="196"/>
      <c r="G132" s="197"/>
      <c r="H132" s="193">
        <v>480</v>
      </c>
      <c r="I132" s="194" t="s">
        <v>305</v>
      </c>
      <c r="J132" s="195">
        <v>130</v>
      </c>
      <c r="K132" s="173">
        <f t="shared" ref="K132:K147" si="31">J132*H132</f>
        <v>62400</v>
      </c>
      <c r="L132" s="198"/>
      <c r="M132" s="199"/>
      <c r="N132" s="200"/>
      <c r="O132" s="47"/>
      <c r="P132" s="47"/>
      <c r="Q132" s="47"/>
      <c r="R132" s="47"/>
      <c r="S132" s="47"/>
    </row>
    <row r="133" spans="4:23" x14ac:dyDescent="0.2">
      <c r="D133" s="16"/>
      <c r="E133" s="192" t="s">
        <v>310</v>
      </c>
      <c r="F133" s="196"/>
      <c r="G133" s="197"/>
      <c r="H133" s="193">
        <v>350</v>
      </c>
      <c r="I133" s="194" t="s">
        <v>305</v>
      </c>
      <c r="J133" s="195">
        <v>70</v>
      </c>
      <c r="K133" s="173">
        <f>J133*H133</f>
        <v>24500</v>
      </c>
      <c r="L133" s="198"/>
      <c r="M133" s="199"/>
      <c r="N133" s="200"/>
      <c r="O133" s="47"/>
      <c r="P133" s="47"/>
      <c r="Q133" s="47"/>
      <c r="R133" s="47"/>
      <c r="S133" s="47"/>
    </row>
    <row r="134" spans="4:23" x14ac:dyDescent="0.2">
      <c r="D134" s="16"/>
      <c r="E134" s="192" t="s">
        <v>311</v>
      </c>
      <c r="F134" s="196"/>
      <c r="G134" s="197"/>
      <c r="H134" s="193">
        <v>165</v>
      </c>
      <c r="I134" s="194" t="s">
        <v>305</v>
      </c>
      <c r="J134" s="195">
        <v>160</v>
      </c>
      <c r="K134" s="173">
        <f t="shared" si="31"/>
        <v>26400</v>
      </c>
      <c r="L134" s="198"/>
      <c r="M134" s="199"/>
      <c r="N134" s="200"/>
      <c r="O134" s="47"/>
      <c r="P134" s="47"/>
      <c r="Q134" s="47"/>
      <c r="R134" s="47"/>
      <c r="S134" s="47"/>
    </row>
    <row r="135" spans="4:23" x14ac:dyDescent="0.2">
      <c r="D135" s="16"/>
      <c r="E135" s="192" t="s">
        <v>312</v>
      </c>
      <c r="F135" s="196"/>
      <c r="G135" s="197"/>
      <c r="H135" s="193">
        <v>180</v>
      </c>
      <c r="I135" s="194" t="s">
        <v>305</v>
      </c>
      <c r="J135" s="195">
        <v>30</v>
      </c>
      <c r="K135" s="173">
        <f t="shared" si="31"/>
        <v>5400</v>
      </c>
      <c r="L135" s="198"/>
      <c r="M135" s="199"/>
      <c r="N135" s="200"/>
      <c r="O135" s="47"/>
      <c r="P135" s="47"/>
      <c r="Q135" s="47"/>
      <c r="R135" s="47"/>
      <c r="S135" s="47"/>
    </row>
    <row r="136" spans="4:23" x14ac:dyDescent="0.2">
      <c r="D136" s="16"/>
      <c r="E136" s="192" t="s">
        <v>331</v>
      </c>
      <c r="F136" s="196"/>
      <c r="G136" s="197"/>
      <c r="H136" s="193">
        <v>220</v>
      </c>
      <c r="I136" s="194" t="s">
        <v>305</v>
      </c>
      <c r="J136" s="195">
        <v>60</v>
      </c>
      <c r="K136" s="173">
        <f>J136*H136</f>
        <v>13200</v>
      </c>
      <c r="L136" s="198"/>
      <c r="M136" s="199"/>
      <c r="N136" s="200"/>
      <c r="O136" s="47"/>
      <c r="P136" s="47"/>
      <c r="Q136" s="47"/>
      <c r="R136" s="47"/>
      <c r="S136" s="47"/>
    </row>
    <row r="137" spans="4:23" x14ac:dyDescent="0.2">
      <c r="D137" s="16"/>
      <c r="E137" s="192" t="s">
        <v>313</v>
      </c>
      <c r="F137" s="196"/>
      <c r="G137" s="197"/>
      <c r="H137" s="193">
        <v>4000</v>
      </c>
      <c r="I137" s="194" t="s">
        <v>306</v>
      </c>
      <c r="J137" s="195">
        <v>1</v>
      </c>
      <c r="K137" s="173">
        <f t="shared" si="31"/>
        <v>4000</v>
      </c>
      <c r="L137" s="198"/>
      <c r="M137" s="197"/>
      <c r="N137" s="192"/>
      <c r="O137" s="201"/>
      <c r="P137" s="47"/>
      <c r="Q137" s="47"/>
      <c r="R137" s="47"/>
      <c r="S137" s="47"/>
    </row>
    <row r="138" spans="4:23" x14ac:dyDescent="0.2">
      <c r="D138" s="16"/>
      <c r="E138" s="192" t="s">
        <v>314</v>
      </c>
      <c r="F138" s="196"/>
      <c r="G138" s="197"/>
      <c r="H138" s="193">
        <v>12000</v>
      </c>
      <c r="I138" s="194" t="s">
        <v>307</v>
      </c>
      <c r="J138" s="195">
        <v>1</v>
      </c>
      <c r="K138" s="173">
        <f t="shared" si="31"/>
        <v>12000</v>
      </c>
      <c r="L138" s="198"/>
      <c r="M138" s="199"/>
      <c r="N138" s="200"/>
      <c r="O138" s="47"/>
      <c r="P138" s="47"/>
      <c r="Q138" s="47"/>
      <c r="R138" s="47"/>
      <c r="S138" s="47"/>
    </row>
    <row r="139" spans="4:23" x14ac:dyDescent="0.2">
      <c r="D139" s="16"/>
      <c r="E139" s="192" t="s">
        <v>317</v>
      </c>
      <c r="F139" s="196"/>
      <c r="G139" s="197"/>
      <c r="H139" s="193">
        <v>6000</v>
      </c>
      <c r="I139" s="194" t="s">
        <v>307</v>
      </c>
      <c r="J139" s="195">
        <v>1</v>
      </c>
      <c r="K139" s="173">
        <f t="shared" si="31"/>
        <v>6000</v>
      </c>
      <c r="L139" s="198"/>
      <c r="M139" s="199"/>
      <c r="N139" s="200"/>
      <c r="O139" s="47"/>
      <c r="P139" s="47"/>
      <c r="Q139" s="47"/>
      <c r="R139" s="47"/>
      <c r="S139" s="47"/>
    </row>
    <row r="140" spans="4:23" x14ac:dyDescent="0.2">
      <c r="D140" s="16"/>
      <c r="E140" s="192" t="s">
        <v>319</v>
      </c>
      <c r="F140" s="196"/>
      <c r="G140" s="197"/>
      <c r="H140" s="193">
        <v>9000</v>
      </c>
      <c r="I140" s="194" t="s">
        <v>304</v>
      </c>
      <c r="J140" s="195">
        <v>1</v>
      </c>
      <c r="K140" s="173">
        <f t="shared" si="31"/>
        <v>9000</v>
      </c>
      <c r="L140" s="198"/>
      <c r="M140" s="199"/>
      <c r="N140" s="200"/>
      <c r="O140" s="47"/>
      <c r="P140" s="47"/>
      <c r="Q140" s="47"/>
      <c r="R140" s="47"/>
      <c r="S140" s="47"/>
    </row>
    <row r="141" spans="4:23" x14ac:dyDescent="0.2">
      <c r="D141" s="16"/>
      <c r="E141" s="192" t="s">
        <v>323</v>
      </c>
      <c r="F141" s="196"/>
      <c r="G141" s="197"/>
      <c r="H141" s="193">
        <v>4200</v>
      </c>
      <c r="I141" s="202" t="s">
        <v>307</v>
      </c>
      <c r="J141" s="195">
        <v>2</v>
      </c>
      <c r="K141" s="173">
        <f t="shared" si="31"/>
        <v>8400</v>
      </c>
      <c r="L141" s="198"/>
      <c r="M141" s="199"/>
      <c r="N141" s="200"/>
      <c r="O141" s="47"/>
      <c r="P141" s="47"/>
      <c r="Q141" s="47"/>
      <c r="R141" s="47"/>
      <c r="S141" s="47"/>
    </row>
    <row r="142" spans="4:23" x14ac:dyDescent="0.2">
      <c r="D142" s="16"/>
      <c r="E142" s="192" t="s">
        <v>324</v>
      </c>
      <c r="F142" s="196"/>
      <c r="G142" s="197"/>
      <c r="H142" s="193">
        <v>3300</v>
      </c>
      <c r="I142" s="202" t="s">
        <v>307</v>
      </c>
      <c r="J142" s="195">
        <v>1</v>
      </c>
      <c r="K142" s="173">
        <f t="shared" si="31"/>
        <v>3300</v>
      </c>
      <c r="L142" s="198"/>
      <c r="M142" s="199"/>
      <c r="N142" s="200"/>
      <c r="O142" s="47"/>
      <c r="P142" s="47"/>
      <c r="Q142" s="47"/>
      <c r="R142" s="47"/>
      <c r="S142" s="47"/>
    </row>
    <row r="143" spans="4:23" x14ac:dyDescent="0.2">
      <c r="D143" s="16"/>
      <c r="E143" s="133" t="s">
        <v>325</v>
      </c>
      <c r="F143" s="203"/>
      <c r="G143" s="133"/>
      <c r="H143" s="193">
        <v>6000</v>
      </c>
      <c r="I143" s="202" t="s">
        <v>307</v>
      </c>
      <c r="J143" s="195">
        <v>1</v>
      </c>
      <c r="K143" s="173">
        <f t="shared" si="31"/>
        <v>6000</v>
      </c>
      <c r="L143" s="133"/>
      <c r="M143" s="204"/>
      <c r="N143" s="133"/>
      <c r="O143" s="47"/>
      <c r="P143" s="47"/>
      <c r="Q143" s="47"/>
      <c r="R143" s="47"/>
      <c r="S143" s="47"/>
    </row>
    <row r="144" spans="4:23" x14ac:dyDescent="0.2">
      <c r="D144" s="16"/>
      <c r="E144" s="1" t="s">
        <v>326</v>
      </c>
      <c r="H144" s="193">
        <v>9000</v>
      </c>
      <c r="I144" s="202" t="s">
        <v>304</v>
      </c>
      <c r="J144" s="195">
        <v>1</v>
      </c>
      <c r="K144" s="173">
        <f t="shared" si="31"/>
        <v>9000</v>
      </c>
      <c r="L144" s="47"/>
      <c r="M144" s="47"/>
      <c r="N144" s="47"/>
      <c r="O144" s="47"/>
      <c r="P144" s="47"/>
      <c r="Q144" s="47"/>
      <c r="R144" s="47"/>
      <c r="S144" s="47"/>
    </row>
    <row r="145" spans="4:23" x14ac:dyDescent="0.2">
      <c r="D145" s="16"/>
      <c r="E145" s="1" t="s">
        <v>327</v>
      </c>
      <c r="H145" s="193">
        <v>6500</v>
      </c>
      <c r="I145" s="202" t="s">
        <v>307</v>
      </c>
      <c r="J145" s="195">
        <v>1</v>
      </c>
      <c r="K145" s="173">
        <f t="shared" si="31"/>
        <v>6500</v>
      </c>
      <c r="L145" s="47"/>
      <c r="M145" s="47"/>
      <c r="N145" s="47"/>
      <c r="O145" s="47"/>
      <c r="P145" s="47"/>
      <c r="Q145" s="47"/>
      <c r="R145" s="47"/>
      <c r="S145" s="47"/>
    </row>
    <row r="146" spans="4:23" x14ac:dyDescent="0.2">
      <c r="D146" s="16"/>
      <c r="E146" s="1" t="s">
        <v>329</v>
      </c>
      <c r="H146" s="193">
        <v>8000</v>
      </c>
      <c r="I146" s="202" t="s">
        <v>304</v>
      </c>
      <c r="J146" s="195">
        <v>1</v>
      </c>
      <c r="K146" s="173">
        <f t="shared" si="31"/>
        <v>8000</v>
      </c>
      <c r="L146" s="47"/>
      <c r="M146" s="47"/>
      <c r="N146" s="47"/>
      <c r="O146" s="47"/>
      <c r="P146" s="47"/>
      <c r="Q146" s="47"/>
      <c r="R146" s="47"/>
      <c r="S146" s="47"/>
    </row>
    <row r="147" spans="4:23" x14ac:dyDescent="0.2">
      <c r="D147" s="16"/>
      <c r="E147" s="1" t="s">
        <v>328</v>
      </c>
      <c r="H147" s="193">
        <v>9000</v>
      </c>
      <c r="I147" s="202" t="s">
        <v>304</v>
      </c>
      <c r="J147" s="195">
        <v>1</v>
      </c>
      <c r="K147" s="173">
        <f t="shared" si="31"/>
        <v>9000</v>
      </c>
      <c r="L147" s="47"/>
      <c r="M147" s="47"/>
      <c r="N147" s="47"/>
      <c r="O147" s="47"/>
      <c r="P147" s="47"/>
      <c r="Q147" s="47"/>
      <c r="R147" s="47"/>
      <c r="S147" s="47"/>
    </row>
    <row r="148" spans="4:23" x14ac:dyDescent="0.2">
      <c r="D148" s="16"/>
      <c r="H148" s="193"/>
      <c r="I148" s="194"/>
      <c r="J148" s="195"/>
      <c r="K148" s="133"/>
      <c r="L148" s="47"/>
      <c r="M148" s="47"/>
      <c r="N148" s="47"/>
      <c r="O148" s="47"/>
      <c r="P148" s="47"/>
      <c r="Q148" s="47"/>
      <c r="R148" s="47"/>
      <c r="S148" s="47"/>
    </row>
    <row r="149" spans="4:23" s="145" customFormat="1" x14ac:dyDescent="0.2">
      <c r="D149" s="141"/>
      <c r="E149" s="140" t="s">
        <v>333</v>
      </c>
      <c r="F149" s="140"/>
      <c r="G149" s="140"/>
      <c r="H149" s="205"/>
      <c r="I149" s="206"/>
      <c r="J149" s="207"/>
      <c r="K149" s="140"/>
      <c r="L149" s="142">
        <f>SUM(L154:L162)</f>
        <v>4422</v>
      </c>
      <c r="M149" s="142"/>
      <c r="N149" s="142">
        <f t="shared" ref="N149:S149" si="32">SUM(N154:N162)</f>
        <v>8844</v>
      </c>
      <c r="O149" s="142">
        <f t="shared" si="32"/>
        <v>9197.76</v>
      </c>
      <c r="P149" s="142">
        <f t="shared" si="32"/>
        <v>9565.6704000000009</v>
      </c>
      <c r="Q149" s="142">
        <f t="shared" si="32"/>
        <v>9948.2972160000008</v>
      </c>
      <c r="R149" s="142">
        <f t="shared" si="32"/>
        <v>10346.229104640001</v>
      </c>
      <c r="S149" s="142">
        <f t="shared" si="32"/>
        <v>10760.0782688256</v>
      </c>
      <c r="T149" s="142">
        <f>SUM(T154:T162)</f>
        <v>11190.481399578624</v>
      </c>
      <c r="U149" s="142">
        <f>SUM(U154:U162)</f>
        <v>11638.10065556177</v>
      </c>
      <c r="V149" s="142">
        <f>SUM(V154:V162)</f>
        <v>12103.62468178424</v>
      </c>
      <c r="W149" s="142">
        <f>SUM(W154:W163)</f>
        <v>12587.769669055609</v>
      </c>
    </row>
    <row r="150" spans="4:23" s="145" customFormat="1" x14ac:dyDescent="0.2">
      <c r="D150" s="146"/>
      <c r="H150" s="208"/>
      <c r="I150" s="209"/>
      <c r="J150" s="210"/>
      <c r="L150" s="147"/>
      <c r="M150" s="147"/>
      <c r="N150" s="147"/>
      <c r="O150" s="147"/>
      <c r="P150" s="147"/>
      <c r="Q150" s="147"/>
      <c r="R150" s="147"/>
      <c r="S150" s="147"/>
    </row>
    <row r="151" spans="4:23" x14ac:dyDescent="0.2">
      <c r="D151" s="16"/>
      <c r="E151" s="1" t="s">
        <v>334</v>
      </c>
      <c r="H151" s="193"/>
      <c r="I151" s="194"/>
      <c r="J151" s="211">
        <v>0.04</v>
      </c>
      <c r="K151" s="133"/>
      <c r="L151" s="47"/>
      <c r="M151" s="47"/>
      <c r="N151" s="47"/>
      <c r="O151" s="47"/>
      <c r="P151" s="47"/>
      <c r="Q151" s="47"/>
      <c r="R151" s="47"/>
      <c r="S151" s="47"/>
    </row>
    <row r="152" spans="4:23" x14ac:dyDescent="0.2">
      <c r="D152" s="16"/>
      <c r="E152" s="135" t="s">
        <v>253</v>
      </c>
      <c r="F152" s="181"/>
      <c r="G152" s="181"/>
      <c r="H152" s="181"/>
      <c r="I152" s="181"/>
      <c r="J152" s="182"/>
      <c r="K152" s="181"/>
      <c r="L152" s="181">
        <v>0.5</v>
      </c>
      <c r="M152" s="181"/>
      <c r="N152" s="215">
        <v>1</v>
      </c>
      <c r="O152" s="215">
        <v>2</v>
      </c>
      <c r="P152" s="215">
        <v>3</v>
      </c>
      <c r="Q152" s="215">
        <v>4</v>
      </c>
      <c r="R152" s="215">
        <f>Q152+1</f>
        <v>5</v>
      </c>
      <c r="S152" s="215">
        <f>R152+1</f>
        <v>6</v>
      </c>
      <c r="T152" s="215">
        <v>7</v>
      </c>
      <c r="U152" s="215">
        <v>8</v>
      </c>
      <c r="V152" s="215">
        <v>9</v>
      </c>
      <c r="W152" s="215">
        <v>10</v>
      </c>
    </row>
    <row r="153" spans="4:23" x14ac:dyDescent="0.2">
      <c r="D153" s="16"/>
      <c r="H153" s="2" t="s">
        <v>151</v>
      </c>
      <c r="I153" s="2" t="s">
        <v>335</v>
      </c>
      <c r="K153" s="47"/>
      <c r="L153" s="47"/>
      <c r="M153" s="47"/>
      <c r="N153" s="47"/>
      <c r="O153" s="47"/>
      <c r="P153" s="47"/>
      <c r="Q153" s="47"/>
      <c r="R153" s="47"/>
      <c r="S153" s="47"/>
    </row>
    <row r="154" spans="4:23" x14ac:dyDescent="0.2">
      <c r="D154" s="16"/>
      <c r="E154" s="212">
        <v>1</v>
      </c>
      <c r="H154" s="162">
        <f>K129</f>
        <v>221100</v>
      </c>
      <c r="I154" s="162">
        <f>H154*J151</f>
        <v>8844</v>
      </c>
      <c r="J154" s="217"/>
      <c r="K154" s="216"/>
      <c r="L154" s="216">
        <f>$I$154*L$152</f>
        <v>4422</v>
      </c>
      <c r="M154" s="216"/>
      <c r="N154" s="162">
        <f t="shared" ref="N154:S154" si="33">$I$154</f>
        <v>8844</v>
      </c>
      <c r="O154" s="162">
        <f t="shared" si="33"/>
        <v>8844</v>
      </c>
      <c r="P154" s="162">
        <f t="shared" si="33"/>
        <v>8844</v>
      </c>
      <c r="Q154" s="162">
        <f t="shared" si="33"/>
        <v>8844</v>
      </c>
      <c r="R154" s="162">
        <f t="shared" si="33"/>
        <v>8844</v>
      </c>
      <c r="S154" s="162">
        <f t="shared" si="33"/>
        <v>8844</v>
      </c>
      <c r="T154" s="162">
        <f>$I$154</f>
        <v>8844</v>
      </c>
      <c r="U154" s="162">
        <f>$I$154</f>
        <v>8844</v>
      </c>
      <c r="V154" s="162">
        <f>$I$154</f>
        <v>8844</v>
      </c>
      <c r="W154" s="162">
        <f>$I$154</f>
        <v>8844</v>
      </c>
    </row>
    <row r="155" spans="4:23" x14ac:dyDescent="0.2">
      <c r="D155" s="16"/>
      <c r="E155" s="212">
        <v>2</v>
      </c>
      <c r="H155" s="162">
        <f>I154</f>
        <v>8844</v>
      </c>
      <c r="I155" s="162">
        <f>H155*J151</f>
        <v>353.76</v>
      </c>
      <c r="J155" s="218"/>
      <c r="K155" s="216"/>
      <c r="L155" s="216"/>
      <c r="M155" s="216"/>
      <c r="N155" s="162"/>
      <c r="O155" s="162">
        <f t="shared" ref="O155:W155" si="34">$I$155</f>
        <v>353.76</v>
      </c>
      <c r="P155" s="162">
        <f t="shared" si="34"/>
        <v>353.76</v>
      </c>
      <c r="Q155" s="162">
        <f t="shared" si="34"/>
        <v>353.76</v>
      </c>
      <c r="R155" s="162">
        <f t="shared" si="34"/>
        <v>353.76</v>
      </c>
      <c r="S155" s="162">
        <f t="shared" si="34"/>
        <v>353.76</v>
      </c>
      <c r="T155" s="162">
        <f t="shared" si="34"/>
        <v>353.76</v>
      </c>
      <c r="U155" s="162">
        <f t="shared" si="34"/>
        <v>353.76</v>
      </c>
      <c r="V155" s="162">
        <f t="shared" si="34"/>
        <v>353.76</v>
      </c>
      <c r="W155" s="162">
        <f t="shared" si="34"/>
        <v>353.76</v>
      </c>
    </row>
    <row r="156" spans="4:23" x14ac:dyDescent="0.2">
      <c r="D156" s="16"/>
      <c r="E156" s="212">
        <v>3</v>
      </c>
      <c r="H156" s="162">
        <f>O149</f>
        <v>9197.76</v>
      </c>
      <c r="I156" s="162">
        <f>H156*J151</f>
        <v>367.91040000000004</v>
      </c>
      <c r="J156" s="217"/>
      <c r="K156" s="216"/>
      <c r="L156" s="216"/>
      <c r="M156" s="216"/>
      <c r="N156" s="162"/>
      <c r="O156" s="162"/>
      <c r="P156" s="162">
        <f t="shared" ref="P156:W156" si="35">$I$156</f>
        <v>367.91040000000004</v>
      </c>
      <c r="Q156" s="162">
        <f t="shared" si="35"/>
        <v>367.91040000000004</v>
      </c>
      <c r="R156" s="162">
        <f t="shared" si="35"/>
        <v>367.91040000000004</v>
      </c>
      <c r="S156" s="162">
        <f t="shared" si="35"/>
        <v>367.91040000000004</v>
      </c>
      <c r="T156" s="162">
        <f t="shared" si="35"/>
        <v>367.91040000000004</v>
      </c>
      <c r="U156" s="162">
        <f t="shared" si="35"/>
        <v>367.91040000000004</v>
      </c>
      <c r="V156" s="162">
        <f t="shared" si="35"/>
        <v>367.91040000000004</v>
      </c>
      <c r="W156" s="162">
        <f t="shared" si="35"/>
        <v>367.91040000000004</v>
      </c>
    </row>
    <row r="157" spans="4:23" x14ac:dyDescent="0.2">
      <c r="D157" s="16"/>
      <c r="E157" s="212">
        <f t="shared" ref="E157:E163" si="36">E156+1</f>
        <v>4</v>
      </c>
      <c r="H157" s="162">
        <f>P149</f>
        <v>9565.6704000000009</v>
      </c>
      <c r="I157" s="162">
        <f>H157*J151</f>
        <v>382.62681600000002</v>
      </c>
      <c r="J157" s="217"/>
      <c r="K157" s="216"/>
      <c r="L157" s="216"/>
      <c r="M157" s="216"/>
      <c r="N157" s="162"/>
      <c r="O157" s="162"/>
      <c r="P157" s="162"/>
      <c r="Q157" s="162">
        <f t="shared" ref="Q157:W157" si="37">$I$157</f>
        <v>382.62681600000002</v>
      </c>
      <c r="R157" s="162">
        <f t="shared" si="37"/>
        <v>382.62681600000002</v>
      </c>
      <c r="S157" s="162">
        <f t="shared" si="37"/>
        <v>382.62681600000002</v>
      </c>
      <c r="T157" s="162">
        <f t="shared" si="37"/>
        <v>382.62681600000002</v>
      </c>
      <c r="U157" s="162">
        <f t="shared" si="37"/>
        <v>382.62681600000002</v>
      </c>
      <c r="V157" s="162">
        <f t="shared" si="37"/>
        <v>382.62681600000002</v>
      </c>
      <c r="W157" s="162">
        <f t="shared" si="37"/>
        <v>382.62681600000002</v>
      </c>
    </row>
    <row r="158" spans="4:23" x14ac:dyDescent="0.2">
      <c r="D158" s="16"/>
      <c r="E158" s="212">
        <f t="shared" si="36"/>
        <v>5</v>
      </c>
      <c r="H158" s="162">
        <f>Q149</f>
        <v>9948.2972160000008</v>
      </c>
      <c r="I158" s="162">
        <f>H158*J151</f>
        <v>397.93188864000007</v>
      </c>
      <c r="J158" s="217"/>
      <c r="K158" s="216"/>
      <c r="L158" s="216"/>
      <c r="M158" s="216"/>
      <c r="N158" s="162"/>
      <c r="O158" s="162"/>
      <c r="P158" s="162"/>
      <c r="Q158" s="162"/>
      <c r="R158" s="162">
        <f t="shared" ref="R158:W158" si="38">$I$158</f>
        <v>397.93188864000007</v>
      </c>
      <c r="S158" s="162">
        <f t="shared" si="38"/>
        <v>397.93188864000007</v>
      </c>
      <c r="T158" s="162">
        <f t="shared" si="38"/>
        <v>397.93188864000007</v>
      </c>
      <c r="U158" s="162">
        <f t="shared" si="38"/>
        <v>397.93188864000007</v>
      </c>
      <c r="V158" s="162">
        <f t="shared" si="38"/>
        <v>397.93188864000007</v>
      </c>
      <c r="W158" s="162">
        <f t="shared" si="38"/>
        <v>397.93188864000007</v>
      </c>
    </row>
    <row r="159" spans="4:23" x14ac:dyDescent="0.2">
      <c r="D159" s="16"/>
      <c r="E159" s="212">
        <f t="shared" si="36"/>
        <v>6</v>
      </c>
      <c r="H159" s="162">
        <f>R149</f>
        <v>10346.229104640001</v>
      </c>
      <c r="I159" s="162">
        <f>H159*J151</f>
        <v>413.84916418560005</v>
      </c>
      <c r="J159" s="217"/>
      <c r="K159" s="216"/>
      <c r="L159" s="216"/>
      <c r="M159" s="216"/>
      <c r="N159" s="162"/>
      <c r="O159" s="162"/>
      <c r="P159" s="162"/>
      <c r="Q159" s="162"/>
      <c r="R159" s="162"/>
      <c r="S159" s="162">
        <f>$I$159</f>
        <v>413.84916418560005</v>
      </c>
      <c r="T159" s="162">
        <f>$I$159</f>
        <v>413.84916418560005</v>
      </c>
      <c r="U159" s="162">
        <f>$I$159</f>
        <v>413.84916418560005</v>
      </c>
      <c r="V159" s="162">
        <f>$I$159</f>
        <v>413.84916418560005</v>
      </c>
      <c r="W159" s="162">
        <f>$I$159</f>
        <v>413.84916418560005</v>
      </c>
    </row>
    <row r="160" spans="4:23" x14ac:dyDescent="0.2">
      <c r="D160" s="16"/>
      <c r="E160" s="212">
        <f t="shared" si="36"/>
        <v>7</v>
      </c>
      <c r="H160" s="162">
        <f>S149</f>
        <v>10760.0782688256</v>
      </c>
      <c r="I160" s="162">
        <f>H160*J151</f>
        <v>430.40313075302402</v>
      </c>
      <c r="K160" s="47"/>
      <c r="L160" s="47"/>
      <c r="M160" s="47"/>
      <c r="N160" s="162"/>
      <c r="O160" s="162"/>
      <c r="P160" s="162"/>
      <c r="Q160" s="162"/>
      <c r="R160" s="162"/>
      <c r="S160" s="162"/>
      <c r="T160" s="162">
        <f>$I$160</f>
        <v>430.40313075302402</v>
      </c>
      <c r="U160" s="162">
        <f>$I$160</f>
        <v>430.40313075302402</v>
      </c>
      <c r="V160" s="162">
        <f>$I$160</f>
        <v>430.40313075302402</v>
      </c>
      <c r="W160" s="162">
        <f>$I$160</f>
        <v>430.40313075302402</v>
      </c>
    </row>
    <row r="161" spans="3:23" x14ac:dyDescent="0.2">
      <c r="D161" s="16"/>
      <c r="E161" s="212">
        <f t="shared" si="36"/>
        <v>8</v>
      </c>
      <c r="H161" s="162">
        <f>T149</f>
        <v>11190.481399578624</v>
      </c>
      <c r="I161" s="162">
        <f>H161*J151</f>
        <v>447.61925598314497</v>
      </c>
      <c r="K161" s="47"/>
      <c r="L161" s="47"/>
      <c r="M161" s="47"/>
      <c r="N161" s="162"/>
      <c r="O161" s="162"/>
      <c r="P161" s="162"/>
      <c r="Q161" s="162"/>
      <c r="R161" s="162"/>
      <c r="S161" s="162"/>
      <c r="T161" s="162"/>
      <c r="U161" s="162">
        <f>$I$161</f>
        <v>447.61925598314497</v>
      </c>
      <c r="V161" s="162">
        <f>$I$161</f>
        <v>447.61925598314497</v>
      </c>
      <c r="W161" s="162">
        <f>$I$161</f>
        <v>447.61925598314497</v>
      </c>
    </row>
    <row r="162" spans="3:23" x14ac:dyDescent="0.2">
      <c r="E162" s="212">
        <f t="shared" si="36"/>
        <v>9</v>
      </c>
      <c r="H162" s="162">
        <f>U149</f>
        <v>11638.10065556177</v>
      </c>
      <c r="I162" s="162">
        <f>H162*J151</f>
        <v>465.52402622247081</v>
      </c>
      <c r="K162" s="47"/>
      <c r="L162" s="50"/>
      <c r="M162" s="50"/>
      <c r="N162" s="228"/>
      <c r="O162" s="228"/>
      <c r="P162" s="228"/>
      <c r="Q162" s="228"/>
      <c r="R162" s="228"/>
      <c r="S162" s="228"/>
      <c r="T162" s="162"/>
      <c r="U162" s="162"/>
      <c r="V162" s="162">
        <f>$I$162</f>
        <v>465.52402622247081</v>
      </c>
      <c r="W162" s="162">
        <f>$I$162</f>
        <v>465.52402622247081</v>
      </c>
    </row>
    <row r="163" spans="3:23" x14ac:dyDescent="0.2">
      <c r="E163" s="212">
        <f t="shared" si="36"/>
        <v>10</v>
      </c>
      <c r="H163" s="162">
        <f>V149</f>
        <v>12103.62468178424</v>
      </c>
      <c r="I163" s="162">
        <f>H163*J151</f>
        <v>484.14498727136964</v>
      </c>
      <c r="K163" s="47"/>
      <c r="L163" s="50"/>
      <c r="M163" s="50"/>
      <c r="N163" s="228"/>
      <c r="O163" s="228"/>
      <c r="P163" s="228"/>
      <c r="Q163" s="228"/>
      <c r="R163" s="228"/>
      <c r="S163" s="228"/>
      <c r="T163" s="162"/>
      <c r="U163" s="162"/>
      <c r="V163" s="162"/>
      <c r="W163" s="162">
        <f>I163</f>
        <v>484.14498727136964</v>
      </c>
    </row>
    <row r="164" spans="3:23" x14ac:dyDescent="0.2">
      <c r="E164" s="212"/>
      <c r="K164" s="47"/>
      <c r="L164" s="50"/>
      <c r="M164" s="50"/>
      <c r="N164" s="50"/>
      <c r="O164" s="50"/>
      <c r="P164" s="50"/>
      <c r="Q164" s="50"/>
      <c r="R164" s="50"/>
      <c r="S164" s="50"/>
    </row>
    <row r="165" spans="3:23" x14ac:dyDescent="0.2">
      <c r="E165" s="212"/>
      <c r="K165" s="47"/>
      <c r="L165" s="50"/>
      <c r="M165" s="50"/>
      <c r="N165" s="50"/>
      <c r="O165" s="50"/>
      <c r="P165" s="50"/>
      <c r="Q165" s="50"/>
      <c r="R165" s="50"/>
      <c r="S165" s="50"/>
    </row>
    <row r="166" spans="3:23" x14ac:dyDescent="0.2">
      <c r="C166" s="10"/>
      <c r="D166" s="13" t="s">
        <v>375</v>
      </c>
      <c r="E166" s="11"/>
      <c r="F166" s="11"/>
      <c r="G166" s="11"/>
      <c r="H166" s="11"/>
      <c r="I166" s="11"/>
      <c r="J166" s="39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</row>
    <row r="167" spans="3:23" x14ac:dyDescent="0.2">
      <c r="D167" s="16"/>
      <c r="K167" s="47"/>
      <c r="L167" s="47"/>
      <c r="M167" s="47"/>
      <c r="N167" s="47"/>
      <c r="O167" s="47"/>
      <c r="P167" s="47"/>
      <c r="Q167" s="47"/>
      <c r="R167" s="47"/>
      <c r="S167" s="47"/>
    </row>
    <row r="168" spans="3:23" x14ac:dyDescent="0.2">
      <c r="D168" s="175" t="s">
        <v>376</v>
      </c>
      <c r="E168" s="20"/>
      <c r="F168" s="20"/>
      <c r="G168" s="20"/>
      <c r="H168" s="20"/>
      <c r="I168" s="20"/>
      <c r="J168" s="41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</row>
    <row r="169" spans="3:23" x14ac:dyDescent="0.2">
      <c r="D169" s="16"/>
      <c r="K169" s="47"/>
      <c r="L169" s="47"/>
      <c r="M169" s="47"/>
      <c r="N169" s="47"/>
      <c r="O169" s="47"/>
      <c r="P169" s="47"/>
      <c r="Q169" s="47"/>
      <c r="R169" s="47"/>
      <c r="S169" s="47"/>
    </row>
    <row r="170" spans="3:23" x14ac:dyDescent="0.2">
      <c r="D170" s="1" t="s">
        <v>130</v>
      </c>
      <c r="K170" s="237">
        <v>0</v>
      </c>
      <c r="L170" s="237">
        <v>250000</v>
      </c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</row>
    <row r="171" spans="3:23" x14ac:dyDescent="0.2">
      <c r="D171" s="1" t="s">
        <v>136</v>
      </c>
      <c r="K171" s="237">
        <v>0</v>
      </c>
      <c r="L171" s="117">
        <f>M171</f>
        <v>0.19181109969164742</v>
      </c>
      <c r="M171" s="117">
        <f t="shared" ref="M171:R171" si="39">M174+$J$175</f>
        <v>0.19181109969164742</v>
      </c>
      <c r="N171" s="117">
        <f t="shared" si="39"/>
        <v>0.17683212084264113</v>
      </c>
      <c r="O171" s="117">
        <f t="shared" si="39"/>
        <v>0.16684522228271673</v>
      </c>
      <c r="P171" s="117">
        <f t="shared" si="39"/>
        <v>0.15935750154125602</v>
      </c>
      <c r="Q171" s="117">
        <f t="shared" si="39"/>
        <v>0.15935750154125602</v>
      </c>
      <c r="R171" s="117">
        <f t="shared" si="39"/>
        <v>0.15935750154125602</v>
      </c>
      <c r="S171" s="117">
        <f>S174+$J$175</f>
        <v>0.15935750154125602</v>
      </c>
      <c r="T171" s="117">
        <f>T174+$J$175</f>
        <v>0.15935750154125602</v>
      </c>
      <c r="U171" s="117">
        <f t="shared" ref="U171:W171" si="40">U174+$J$175</f>
        <v>0.15935750154125602</v>
      </c>
      <c r="V171" s="117">
        <f t="shared" si="40"/>
        <v>0.15935750154125602</v>
      </c>
      <c r="W171" s="117">
        <f t="shared" si="40"/>
        <v>0.15935750154125602</v>
      </c>
    </row>
    <row r="172" spans="3:23" x14ac:dyDescent="0.2">
      <c r="D172" s="1" t="s">
        <v>374</v>
      </c>
      <c r="K172" s="237"/>
      <c r="L172" s="237">
        <f>L170*L171/2</f>
        <v>23976.387461455928</v>
      </c>
      <c r="M172" s="237">
        <f>K172+L172</f>
        <v>23976.387461455928</v>
      </c>
      <c r="N172" s="237">
        <f>M179*N171</f>
        <v>44208.030210660283</v>
      </c>
      <c r="O172" s="237">
        <f t="shared" ref="O172:W172" si="41">N179*O171</f>
        <v>41711.305570679178</v>
      </c>
      <c r="P172" s="237">
        <f t="shared" si="41"/>
        <v>39839.375385314008</v>
      </c>
      <c r="Q172" s="237">
        <f t="shared" si="41"/>
        <v>39839.375385314008</v>
      </c>
      <c r="R172" s="237">
        <f t="shared" si="41"/>
        <v>37183.417026293071</v>
      </c>
      <c r="S172" s="237">
        <f t="shared" si="41"/>
        <v>34527.458667272142</v>
      </c>
      <c r="T172" s="237">
        <f t="shared" si="41"/>
        <v>31871.500308251208</v>
      </c>
      <c r="U172" s="237">
        <f t="shared" si="41"/>
        <v>29215.541949230279</v>
      </c>
      <c r="V172" s="237">
        <f t="shared" si="41"/>
        <v>26559.583590209346</v>
      </c>
      <c r="W172" s="237">
        <f t="shared" si="41"/>
        <v>23903.625231188413</v>
      </c>
    </row>
    <row r="173" spans="3:23" x14ac:dyDescent="0.2">
      <c r="D173" s="1" t="s">
        <v>434</v>
      </c>
      <c r="J173" s="242">
        <v>2030</v>
      </c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</row>
    <row r="174" spans="3:23" x14ac:dyDescent="0.2">
      <c r="D174" s="1" t="s">
        <v>134</v>
      </c>
      <c r="K174" s="237">
        <v>0</v>
      </c>
      <c r="L174" s="237"/>
      <c r="M174" s="117">
        <f>'Macro - Itaú'!I15</f>
        <v>0.13881109969164743</v>
      </c>
      <c r="N174" s="117">
        <f>'Macro - Itaú'!J15</f>
        <v>0.12383212084264113</v>
      </c>
      <c r="O174" s="117">
        <f>'Macro - Itaú'!K15</f>
        <v>0.11384522228271673</v>
      </c>
      <c r="P174" s="117">
        <f>'Macro - Itaú'!L15</f>
        <v>0.10635750154125603</v>
      </c>
      <c r="Q174" s="117">
        <f>'Macro - Itaú'!M15</f>
        <v>0.10635750154125603</v>
      </c>
      <c r="R174" s="117">
        <f>'Macro - Itaú'!N15</f>
        <v>0.10635750154125603</v>
      </c>
      <c r="S174" s="117">
        <f>'Macro - Itaú'!O15</f>
        <v>0.10635750154125603</v>
      </c>
      <c r="T174" s="117">
        <f>'Macro - Itaú'!P15</f>
        <v>0.10635750154125603</v>
      </c>
      <c r="U174" s="117">
        <f>'Macro - Itaú'!Q15</f>
        <v>0.10635750154125603</v>
      </c>
      <c r="V174" s="117">
        <f>'Macro - Itaú'!R15</f>
        <v>0.10635750154125603</v>
      </c>
      <c r="W174" s="117">
        <f>'Macro - Itaú'!S15</f>
        <v>0.10635750154125603</v>
      </c>
    </row>
    <row r="175" spans="3:23" x14ac:dyDescent="0.2">
      <c r="D175" s="1" t="s">
        <v>135</v>
      </c>
      <c r="J175" s="42">
        <v>5.2999999999999999E-2</v>
      </c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</row>
    <row r="176" spans="3:23" x14ac:dyDescent="0.2">
      <c r="D176" s="1" t="s">
        <v>431</v>
      </c>
      <c r="J176" s="243">
        <v>15</v>
      </c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</row>
    <row r="177" spans="3:23" x14ac:dyDescent="0.2">
      <c r="D177" s="1" t="s">
        <v>131</v>
      </c>
      <c r="J177" s="242"/>
      <c r="K177" s="237">
        <v>0</v>
      </c>
      <c r="L177" s="237">
        <v>0</v>
      </c>
      <c r="M177" s="237">
        <f>L177</f>
        <v>0</v>
      </c>
      <c r="N177" s="237">
        <f>IF(VALUE(LEFT(N$5,4))&lt;$J$173,0,IF(M179&gt;0,MIN(M179,$L$170/$J$176),0))</f>
        <v>0</v>
      </c>
      <c r="O177" s="237">
        <f t="shared" ref="O177:W177" si="42">IF(VALUE(LEFT(O$5,4))&lt;$J$173,0,IF(N179&gt;0,MIN(N179,$L$170/$J$176),0))</f>
        <v>0</v>
      </c>
      <c r="P177" s="237">
        <f t="shared" si="42"/>
        <v>0</v>
      </c>
      <c r="Q177" s="237">
        <f t="shared" si="42"/>
        <v>16666.666666666668</v>
      </c>
      <c r="R177" s="237">
        <f t="shared" si="42"/>
        <v>16666.666666666668</v>
      </c>
      <c r="S177" s="237">
        <f t="shared" si="42"/>
        <v>16666.666666666668</v>
      </c>
      <c r="T177" s="237">
        <f t="shared" si="42"/>
        <v>16666.666666666668</v>
      </c>
      <c r="U177" s="237">
        <f t="shared" si="42"/>
        <v>16666.666666666668</v>
      </c>
      <c r="V177" s="237">
        <f t="shared" si="42"/>
        <v>16666.666666666668</v>
      </c>
      <c r="W177" s="237">
        <f t="shared" si="42"/>
        <v>16666.666666666668</v>
      </c>
    </row>
    <row r="178" spans="3:23" x14ac:dyDescent="0.2">
      <c r="D178" s="1" t="s">
        <v>132</v>
      </c>
      <c r="K178" s="237">
        <v>0</v>
      </c>
      <c r="L178" s="237">
        <f>L172+L177</f>
        <v>23976.387461455928</v>
      </c>
      <c r="M178" s="237">
        <f>M172+M177</f>
        <v>23976.387461455928</v>
      </c>
      <c r="N178" s="237">
        <f>N172+N177</f>
        <v>44208.030210660283</v>
      </c>
      <c r="O178" s="237">
        <f t="shared" ref="O178:W178" si="43">O172+O177</f>
        <v>41711.305570679178</v>
      </c>
      <c r="P178" s="237">
        <f t="shared" si="43"/>
        <v>39839.375385314008</v>
      </c>
      <c r="Q178" s="237">
        <f t="shared" si="43"/>
        <v>56506.042051980679</v>
      </c>
      <c r="R178" s="237">
        <f t="shared" si="43"/>
        <v>53850.083692959743</v>
      </c>
      <c r="S178" s="237">
        <f t="shared" si="43"/>
        <v>51194.125333938806</v>
      </c>
      <c r="T178" s="237">
        <f t="shared" si="43"/>
        <v>48538.166974917876</v>
      </c>
      <c r="U178" s="237">
        <f t="shared" si="43"/>
        <v>45882.208615896947</v>
      </c>
      <c r="V178" s="237">
        <f t="shared" si="43"/>
        <v>43226.25025687601</v>
      </c>
      <c r="W178" s="237">
        <f t="shared" si="43"/>
        <v>40570.291897855081</v>
      </c>
    </row>
    <row r="179" spans="3:23" x14ac:dyDescent="0.2">
      <c r="D179" s="1" t="s">
        <v>133</v>
      </c>
      <c r="K179" s="237">
        <v>0</v>
      </c>
      <c r="L179" s="237">
        <f>L170-L177</f>
        <v>250000</v>
      </c>
      <c r="M179" s="237">
        <f>L179-M177</f>
        <v>250000</v>
      </c>
      <c r="N179" s="237">
        <f>M179-N177</f>
        <v>250000</v>
      </c>
      <c r="O179" s="237">
        <f t="shared" ref="O179:W179" si="44">N179-O177</f>
        <v>250000</v>
      </c>
      <c r="P179" s="237">
        <f t="shared" si="44"/>
        <v>250000</v>
      </c>
      <c r="Q179" s="237">
        <f t="shared" si="44"/>
        <v>233333.33333333334</v>
      </c>
      <c r="R179" s="237">
        <f t="shared" si="44"/>
        <v>216666.66666666669</v>
      </c>
      <c r="S179" s="237">
        <f t="shared" si="44"/>
        <v>200000.00000000003</v>
      </c>
      <c r="T179" s="237">
        <f t="shared" si="44"/>
        <v>183333.33333333337</v>
      </c>
      <c r="U179" s="237">
        <f t="shared" si="44"/>
        <v>166666.66666666672</v>
      </c>
      <c r="V179" s="237">
        <f t="shared" si="44"/>
        <v>150000.00000000006</v>
      </c>
      <c r="W179" s="237">
        <f t="shared" si="44"/>
        <v>133333.3333333334</v>
      </c>
    </row>
    <row r="180" spans="3:23" x14ac:dyDescent="0.2">
      <c r="K180" s="47"/>
      <c r="L180" s="47"/>
      <c r="M180" s="47"/>
      <c r="N180" s="47"/>
      <c r="O180" s="47"/>
      <c r="P180" s="47"/>
      <c r="Q180" s="47"/>
      <c r="R180" s="47"/>
      <c r="S180" s="47"/>
    </row>
    <row r="181" spans="3:23" x14ac:dyDescent="0.2">
      <c r="K181" s="47"/>
      <c r="L181" s="47"/>
      <c r="M181" s="117"/>
      <c r="N181" s="117"/>
      <c r="O181" s="117"/>
      <c r="P181" s="117"/>
      <c r="Q181" s="117"/>
      <c r="R181" s="117"/>
      <c r="S181" s="117"/>
    </row>
    <row r="182" spans="3:23" x14ac:dyDescent="0.2">
      <c r="D182" s="32" t="s">
        <v>316</v>
      </c>
      <c r="E182" s="32"/>
      <c r="F182" s="32"/>
      <c r="G182" s="32"/>
      <c r="H182" s="32"/>
      <c r="I182" s="32"/>
      <c r="J182" s="156"/>
      <c r="K182" s="94"/>
      <c r="L182" s="94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</row>
    <row r="183" spans="3:23" x14ac:dyDescent="0.2">
      <c r="K183" s="47"/>
      <c r="L183" s="47"/>
      <c r="M183" s="117"/>
      <c r="N183" s="117"/>
      <c r="O183" s="117"/>
      <c r="P183" s="117"/>
      <c r="Q183" s="117"/>
      <c r="R183" s="117"/>
      <c r="S183" s="117"/>
    </row>
    <row r="184" spans="3:23" x14ac:dyDescent="0.2">
      <c r="D184" s="178" t="s">
        <v>134</v>
      </c>
      <c r="K184" s="47">
        <v>0</v>
      </c>
      <c r="L184" s="47">
        <v>0</v>
      </c>
      <c r="M184" s="117">
        <f>'Macro - Itaú'!I15</f>
        <v>0.13881109969164743</v>
      </c>
      <c r="N184" s="117">
        <f>'Macro - Itaú'!J15</f>
        <v>0.12383212084264113</v>
      </c>
      <c r="O184" s="117">
        <f>'Macro - Itaú'!K15</f>
        <v>0.11384522228271673</v>
      </c>
      <c r="P184" s="117">
        <f>'Macro - Itaú'!L15</f>
        <v>0.10635750154125603</v>
      </c>
      <c r="Q184" s="117">
        <f>'Macro - Itaú'!M15</f>
        <v>0.10635750154125603</v>
      </c>
      <c r="R184" s="117">
        <f>'Macro - Itaú'!N15</f>
        <v>0.10635750154125603</v>
      </c>
      <c r="S184" s="117">
        <f>'Macro - Itaú'!O15</f>
        <v>0.10635750154125603</v>
      </c>
      <c r="T184" s="117">
        <f>'Macro - Itaú'!P15</f>
        <v>0.10635750154125603</v>
      </c>
      <c r="U184" s="117">
        <f>'Macro - Itaú'!Q15</f>
        <v>0.10635750154125603</v>
      </c>
      <c r="V184" s="117">
        <f>'Macro - Itaú'!R15</f>
        <v>0.10635750154125603</v>
      </c>
      <c r="W184" s="117">
        <f>'Macro - Itaú'!S15</f>
        <v>0.10635750154125603</v>
      </c>
    </row>
    <row r="185" spans="3:23" x14ac:dyDescent="0.2">
      <c r="K185" s="47"/>
      <c r="L185" s="47"/>
      <c r="M185" s="117"/>
      <c r="N185" s="117"/>
      <c r="O185" s="117"/>
      <c r="P185" s="117"/>
      <c r="Q185" s="117"/>
      <c r="R185" s="117"/>
      <c r="S185" s="117"/>
    </row>
    <row r="186" spans="3:23" x14ac:dyDescent="0.2">
      <c r="D186" s="97" t="s">
        <v>67</v>
      </c>
      <c r="K186" s="47"/>
      <c r="L186" s="47"/>
      <c r="M186" s="117"/>
      <c r="N186" s="117"/>
      <c r="O186" s="117"/>
      <c r="P186" s="117"/>
      <c r="Q186" s="117"/>
      <c r="R186" s="117"/>
      <c r="S186" s="117"/>
    </row>
    <row r="187" spans="3:23" x14ac:dyDescent="0.2">
      <c r="K187" s="47"/>
      <c r="L187" s="47"/>
      <c r="M187" s="47"/>
      <c r="N187" s="47"/>
      <c r="O187" s="47"/>
      <c r="P187" s="47"/>
      <c r="Q187" s="47"/>
      <c r="R187" s="47"/>
      <c r="S187" s="47"/>
    </row>
    <row r="188" spans="3:23" x14ac:dyDescent="0.2">
      <c r="C188" s="10"/>
      <c r="D188" s="13" t="s">
        <v>137</v>
      </c>
      <c r="E188" s="11"/>
      <c r="F188" s="11"/>
      <c r="G188" s="11"/>
      <c r="H188" s="11"/>
      <c r="I188" s="11"/>
      <c r="J188" s="39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</row>
    <row r="189" spans="3:23" x14ac:dyDescent="0.2">
      <c r="D189" s="3"/>
      <c r="K189" s="47"/>
      <c r="L189" s="47"/>
      <c r="M189" s="47"/>
      <c r="N189" s="47"/>
      <c r="O189" s="47"/>
      <c r="P189" s="47"/>
      <c r="Q189" s="47"/>
      <c r="R189" s="47"/>
      <c r="S189" s="47"/>
    </row>
    <row r="190" spans="3:23" x14ac:dyDescent="0.2">
      <c r="K190" s="47"/>
      <c r="L190" s="50"/>
      <c r="M190" s="50"/>
      <c r="N190" s="50"/>
      <c r="O190" s="50"/>
      <c r="P190" s="50"/>
      <c r="Q190" s="50"/>
      <c r="R190" s="50"/>
      <c r="S190" s="50"/>
    </row>
    <row r="191" spans="3:23" x14ac:dyDescent="0.2">
      <c r="C191" s="10"/>
      <c r="D191" s="13" t="s">
        <v>138</v>
      </c>
      <c r="E191" s="11"/>
      <c r="F191" s="11"/>
      <c r="G191" s="11"/>
      <c r="H191" s="11"/>
      <c r="I191" s="11"/>
      <c r="J191" s="39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</row>
    <row r="192" spans="3:23" x14ac:dyDescent="0.2">
      <c r="D192" s="3"/>
      <c r="K192" s="47"/>
      <c r="L192" s="47"/>
      <c r="M192" s="47"/>
      <c r="N192" s="47"/>
      <c r="O192" s="47"/>
      <c r="P192" s="47"/>
      <c r="Q192" s="47"/>
      <c r="R192" s="47"/>
      <c r="S192" s="47"/>
    </row>
    <row r="193" spans="2:23" x14ac:dyDescent="0.2">
      <c r="D193" s="1" t="s">
        <v>139</v>
      </c>
      <c r="K193" s="124">
        <f>(Input!V82+Input!V83)/Input!V9*182</f>
        <v>42.466293103448272</v>
      </c>
      <c r="L193" s="47">
        <f>K193+5</f>
        <v>47.466293103448272</v>
      </c>
      <c r="M193" s="47">
        <f>L193</f>
        <v>47.466293103448272</v>
      </c>
      <c r="N193" s="47">
        <f>M193</f>
        <v>47.466293103448272</v>
      </c>
      <c r="O193" s="47">
        <f>N193</f>
        <v>47.466293103448272</v>
      </c>
      <c r="P193" s="47">
        <f>O193</f>
        <v>47.466293103448272</v>
      </c>
      <c r="Q193" s="47">
        <f>P193</f>
        <v>47.466293103448272</v>
      </c>
      <c r="R193" s="47">
        <f>Q193</f>
        <v>47.466293103448272</v>
      </c>
      <c r="S193" s="47">
        <f>R193</f>
        <v>47.466293103448272</v>
      </c>
      <c r="T193" s="47">
        <f>S193</f>
        <v>47.466293103448272</v>
      </c>
      <c r="U193" s="47">
        <f>T193</f>
        <v>47.466293103448272</v>
      </c>
      <c r="V193" s="47">
        <f>U193</f>
        <v>47.466293103448272</v>
      </c>
      <c r="W193" s="47">
        <f>V193</f>
        <v>47.466293103448272</v>
      </c>
    </row>
    <row r="194" spans="2:23" x14ac:dyDescent="0.2">
      <c r="D194" s="1" t="s">
        <v>140</v>
      </c>
      <c r="K194" s="124">
        <f>Input!V104/-Input!V17*182</f>
        <v>108.07240937315312</v>
      </c>
      <c r="L194" s="47">
        <f>K194</f>
        <v>108.07240937315312</v>
      </c>
      <c r="M194" s="47">
        <f>L194</f>
        <v>108.07240937315312</v>
      </c>
      <c r="N194" s="47">
        <f>M194</f>
        <v>108.07240937315312</v>
      </c>
      <c r="O194" s="47">
        <f>N194</f>
        <v>108.07240937315312</v>
      </c>
      <c r="P194" s="47">
        <f>O194</f>
        <v>108.07240937315312</v>
      </c>
      <c r="Q194" s="47">
        <f>P194</f>
        <v>108.07240937315312</v>
      </c>
      <c r="R194" s="47">
        <f>Q194</f>
        <v>108.07240937315312</v>
      </c>
      <c r="S194" s="47">
        <f>R194</f>
        <v>108.07240937315312</v>
      </c>
      <c r="T194" s="47">
        <f>S194</f>
        <v>108.07240937315312</v>
      </c>
      <c r="U194" s="47">
        <f>T194</f>
        <v>108.07240937315312</v>
      </c>
      <c r="V194" s="47">
        <f>U194</f>
        <v>108.07240937315312</v>
      </c>
      <c r="W194" s="47">
        <f>V194</f>
        <v>108.07240937315312</v>
      </c>
    </row>
    <row r="195" spans="2:23" x14ac:dyDescent="0.2">
      <c r="D195" s="1" t="s">
        <v>141</v>
      </c>
      <c r="K195" s="124">
        <f>Input!V88/-Input!V17*182</f>
        <v>22.244491008312416</v>
      </c>
      <c r="L195" s="47">
        <f>K195</f>
        <v>22.244491008312416</v>
      </c>
      <c r="M195" s="47">
        <f>L195</f>
        <v>22.244491008312416</v>
      </c>
      <c r="N195" s="47">
        <f>M195</f>
        <v>22.244491008312416</v>
      </c>
      <c r="O195" s="47">
        <f>N195</f>
        <v>22.244491008312416</v>
      </c>
      <c r="P195" s="47">
        <f>O195</f>
        <v>22.244491008312416</v>
      </c>
      <c r="Q195" s="47">
        <f>P195</f>
        <v>22.244491008312416</v>
      </c>
      <c r="R195" s="47">
        <f>Q195</f>
        <v>22.244491008312416</v>
      </c>
      <c r="S195" s="47">
        <f>R195</f>
        <v>22.244491008312416</v>
      </c>
      <c r="T195" s="47">
        <f>S195</f>
        <v>22.244491008312416</v>
      </c>
      <c r="U195" s="47">
        <f>T195</f>
        <v>22.244491008312416</v>
      </c>
      <c r="V195" s="47">
        <f>U195</f>
        <v>22.244491008312416</v>
      </c>
      <c r="W195" s="47">
        <f>V195</f>
        <v>22.244491008312416</v>
      </c>
    </row>
    <row r="196" spans="2:23" x14ac:dyDescent="0.2">
      <c r="K196" s="47"/>
      <c r="L196" s="50"/>
      <c r="M196" s="50"/>
      <c r="N196" s="50"/>
      <c r="O196" s="50"/>
      <c r="P196" s="50"/>
      <c r="Q196" s="50"/>
      <c r="R196" s="50"/>
      <c r="S196" s="50"/>
    </row>
    <row r="197" spans="2:23" x14ac:dyDescent="0.2">
      <c r="K197" s="47"/>
      <c r="L197" s="47"/>
      <c r="M197" s="47"/>
      <c r="N197" s="47"/>
      <c r="O197" s="47"/>
      <c r="P197" s="47"/>
      <c r="Q197" s="47"/>
      <c r="R197" s="47"/>
      <c r="S197" s="47"/>
    </row>
    <row r="198" spans="2:23" x14ac:dyDescent="0.2">
      <c r="B198" s="10"/>
      <c r="C198" s="13" t="s">
        <v>29</v>
      </c>
      <c r="D198" s="13"/>
      <c r="E198" s="11"/>
      <c r="F198" s="11"/>
      <c r="G198" s="11"/>
      <c r="H198" s="11"/>
      <c r="I198" s="11"/>
      <c r="J198" s="39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</row>
    <row r="199" spans="2:23" x14ac:dyDescent="0.2">
      <c r="D199" s="16"/>
      <c r="K199" s="47"/>
      <c r="L199" s="47"/>
      <c r="M199" s="47"/>
      <c r="N199" s="47"/>
      <c r="O199" s="47"/>
      <c r="P199" s="47"/>
      <c r="Q199" s="47"/>
      <c r="R199" s="47"/>
      <c r="S199" s="47"/>
    </row>
    <row r="200" spans="2:23" x14ac:dyDescent="0.2">
      <c r="D200" s="17" t="s">
        <v>30</v>
      </c>
      <c r="E200" s="32"/>
      <c r="F200" s="32"/>
      <c r="G200" s="32"/>
      <c r="H200" s="32"/>
      <c r="I200" s="32"/>
      <c r="J200" s="167"/>
      <c r="K200" s="94">
        <f>Input!V9</f>
        <v>162400</v>
      </c>
      <c r="L200" s="94">
        <f>(L20+L83)*L11+L54*L79</f>
        <v>360338.64</v>
      </c>
      <c r="M200" s="94">
        <f>K200+L200</f>
        <v>522738.64</v>
      </c>
      <c r="N200" s="94">
        <f>(N20+N83)*N11+N54*N79</f>
        <v>934592.62319608487</v>
      </c>
      <c r="O200" s="94">
        <f>(O20+O83)*O11+O54*O79</f>
        <v>1158269.3183092379</v>
      </c>
      <c r="P200" s="94">
        <f>(P20+P83)*P11+P54*P79</f>
        <v>1369985.5628532525</v>
      </c>
      <c r="Q200" s="94">
        <f>(Q20+Q83)*Q11+Q54*Q79</f>
        <v>1573672.3525670823</v>
      </c>
      <c r="R200" s="94">
        <f>(R20+R83)*R11+R54*R79</f>
        <v>1774206.2666584831</v>
      </c>
      <c r="S200" s="94">
        <f>(S20+S83)*S11+S54*S79</f>
        <v>1968116.4438000149</v>
      </c>
      <c r="T200" s="94">
        <f>(T20+T83)*T11+T54*T79</f>
        <v>2161338.5747167738</v>
      </c>
      <c r="U200" s="94">
        <f>(U20+U83)*U11+U54*U79</f>
        <v>2355790.6400445821</v>
      </c>
      <c r="V200" s="94">
        <f>(V20+V83)*V11+V54*V79</f>
        <v>2553081.8862203136</v>
      </c>
      <c r="W200" s="94">
        <f>(W20+W83)*W11+W54*W79</f>
        <v>2754892.7560896138</v>
      </c>
    </row>
    <row r="201" spans="2:23" x14ac:dyDescent="0.2">
      <c r="D201" s="18" t="s">
        <v>31</v>
      </c>
      <c r="J201" s="29"/>
      <c r="K201" s="136"/>
      <c r="L201" s="136"/>
      <c r="M201" s="136"/>
      <c r="N201" s="116">
        <f>N200/M200-1</f>
        <v>0.78787744329763876</v>
      </c>
      <c r="O201" s="116">
        <f t="shared" ref="O201:W201" si="45">O200/N200-1</f>
        <v>0.23933068757618892</v>
      </c>
      <c r="P201" s="116">
        <f t="shared" si="45"/>
        <v>0.18278671566045057</v>
      </c>
      <c r="Q201" s="116">
        <f t="shared" si="45"/>
        <v>0.14867805562097591</v>
      </c>
      <c r="R201" s="116">
        <f t="shared" si="45"/>
        <v>0.12743053772551582</v>
      </c>
      <c r="S201" s="116">
        <f t="shared" si="45"/>
        <v>0.10929404364394446</v>
      </c>
      <c r="T201" s="116">
        <f t="shared" si="45"/>
        <v>9.817616814566521E-2</v>
      </c>
      <c r="U201" s="116">
        <f t="shared" si="45"/>
        <v>8.9968349985744211E-2</v>
      </c>
      <c r="V201" s="116">
        <f t="shared" si="45"/>
        <v>8.3747359728026494E-2</v>
      </c>
      <c r="W201" s="116">
        <f t="shared" si="45"/>
        <v>7.9045983976671064E-2</v>
      </c>
    </row>
    <row r="202" spans="2:23" x14ac:dyDescent="0.2">
      <c r="D202" s="33"/>
      <c r="J202" s="29"/>
      <c r="K202" s="136"/>
      <c r="L202" s="136"/>
      <c r="M202" s="136"/>
      <c r="N202" s="136"/>
      <c r="O202" s="136"/>
      <c r="P202" s="136"/>
      <c r="Q202" s="136"/>
      <c r="R202" s="136"/>
      <c r="S202" s="136"/>
    </row>
    <row r="203" spans="2:23" x14ac:dyDescent="0.2">
      <c r="D203" s="19" t="s">
        <v>32</v>
      </c>
      <c r="J203" s="29"/>
      <c r="K203" s="47">
        <f>Input!V12</f>
        <v>-9962</v>
      </c>
      <c r="L203" s="136">
        <f>-$J$204*L200</f>
        <v>-22104.024209852218</v>
      </c>
      <c r="M203" s="136">
        <f>K203+L203</f>
        <v>-32066.024209852218</v>
      </c>
      <c r="N203" s="136">
        <f>-$J$204*N200</f>
        <v>-57330.121381030767</v>
      </c>
      <c r="O203" s="136"/>
      <c r="P203" s="136"/>
      <c r="Q203" s="136"/>
      <c r="R203" s="136"/>
      <c r="S203" s="136"/>
    </row>
    <row r="204" spans="2:23" x14ac:dyDescent="0.2">
      <c r="D204" s="19"/>
      <c r="E204" s="1" t="s">
        <v>444</v>
      </c>
      <c r="J204" s="31">
        <f>-K203/K200</f>
        <v>6.1342364532019703E-2</v>
      </c>
      <c r="K204" s="136"/>
      <c r="L204" s="136"/>
      <c r="M204" s="136"/>
      <c r="N204" s="136"/>
      <c r="O204" s="136"/>
      <c r="P204" s="136"/>
      <c r="Q204" s="136"/>
      <c r="R204" s="136"/>
      <c r="S204" s="136"/>
    </row>
    <row r="205" spans="2:23" x14ac:dyDescent="0.2">
      <c r="D205" s="17" t="s">
        <v>33</v>
      </c>
      <c r="E205" s="32"/>
      <c r="F205" s="32"/>
      <c r="G205" s="32"/>
      <c r="H205" s="32"/>
      <c r="I205" s="32"/>
      <c r="J205" s="167"/>
      <c r="K205" s="94">
        <f>K200+K203</f>
        <v>152438</v>
      </c>
      <c r="L205" s="94">
        <f t="shared" ref="L205:W205" si="46">L200+L203</f>
        <v>338234.6157901478</v>
      </c>
      <c r="M205" s="94">
        <f t="shared" si="46"/>
        <v>490672.6157901478</v>
      </c>
      <c r="N205" s="94">
        <f t="shared" si="46"/>
        <v>877262.5018150541</v>
      </c>
      <c r="O205" s="94">
        <f t="shared" si="46"/>
        <v>1158269.3183092379</v>
      </c>
      <c r="P205" s="94">
        <f t="shared" si="46"/>
        <v>1369985.5628532525</v>
      </c>
      <c r="Q205" s="94">
        <f t="shared" si="46"/>
        <v>1573672.3525670823</v>
      </c>
      <c r="R205" s="94">
        <f t="shared" si="46"/>
        <v>1774206.2666584831</v>
      </c>
      <c r="S205" s="94">
        <f t="shared" si="46"/>
        <v>1968116.4438000149</v>
      </c>
      <c r="T205" s="94">
        <f t="shared" si="46"/>
        <v>2161338.5747167738</v>
      </c>
      <c r="U205" s="94">
        <f t="shared" si="46"/>
        <v>2355790.6400445821</v>
      </c>
      <c r="V205" s="94">
        <f t="shared" si="46"/>
        <v>2553081.8862203136</v>
      </c>
      <c r="W205" s="94">
        <f t="shared" si="46"/>
        <v>2754892.7560896138</v>
      </c>
    </row>
    <row r="206" spans="2:23" x14ac:dyDescent="0.2">
      <c r="D206" s="18" t="s">
        <v>31</v>
      </c>
      <c r="J206" s="29"/>
      <c r="K206" s="136"/>
      <c r="L206" s="136"/>
      <c r="M206" s="136"/>
      <c r="N206" s="136"/>
      <c r="O206" s="136"/>
      <c r="P206" s="136"/>
      <c r="Q206" s="136"/>
      <c r="R206" s="136"/>
      <c r="S206" s="136"/>
    </row>
    <row r="207" spans="2:23" x14ac:dyDescent="0.2">
      <c r="D207" s="18"/>
      <c r="J207" s="29"/>
      <c r="K207" s="136"/>
      <c r="L207" s="136"/>
      <c r="M207" s="136"/>
      <c r="N207" s="136"/>
      <c r="O207" s="136"/>
      <c r="P207" s="136"/>
      <c r="Q207" s="136"/>
      <c r="R207" s="136"/>
      <c r="S207" s="136"/>
    </row>
    <row r="208" spans="2:23" x14ac:dyDescent="0.2">
      <c r="D208" s="19" t="s">
        <v>34</v>
      </c>
      <c r="J208" s="29"/>
      <c r="K208" s="47">
        <f>Input!V17</f>
        <v>-130287</v>
      </c>
      <c r="L208" s="136">
        <f>$J$211*L205*(-1)</f>
        <v>-271352.0528783928</v>
      </c>
      <c r="M208" s="136">
        <f>K208+L208</f>
        <v>-401639.0528783928</v>
      </c>
      <c r="N208" s="136">
        <f>$J$211*N205*(-1)</f>
        <v>-703792.48506144062</v>
      </c>
      <c r="O208" s="136">
        <f>$J$211*O205*(-1)</f>
        <v>-929232.9721339636</v>
      </c>
      <c r="P208" s="136">
        <f>$J$211*P205*(-1)</f>
        <v>-1099084.4151937298</v>
      </c>
      <c r="Q208" s="136">
        <f>$J$211*Q205*(-1)</f>
        <v>-1262494.1490080508</v>
      </c>
      <c r="R208" s="136">
        <f>$J$211*R205*(-1)</f>
        <v>-1423374.4572914643</v>
      </c>
      <c r="S208" s="136">
        <f>$J$211*S205*(-1)</f>
        <v>-1578940.8073483531</v>
      </c>
      <c r="T208" s="238">
        <f>$J$211*T205*(-1)</f>
        <v>-1733955.1655426375</v>
      </c>
      <c r="U208" s="238">
        <f>$J$211*U205*(-1)</f>
        <v>-1889956.2507357665</v>
      </c>
      <c r="V208" s="238">
        <f>$J$211*V205*(-1)</f>
        <v>-2048235.0967363671</v>
      </c>
      <c r="W208" s="238">
        <f>$J$211*W205*(-1)</f>
        <v>-2210139.8553734454</v>
      </c>
    </row>
    <row r="209" spans="4:23" x14ac:dyDescent="0.2">
      <c r="D209" s="19"/>
      <c r="E209" s="1" t="s">
        <v>427</v>
      </c>
      <c r="J209" s="235">
        <f>K208*-1</f>
        <v>130287</v>
      </c>
      <c r="K209" s="47"/>
      <c r="L209" s="136"/>
      <c r="M209" s="136"/>
      <c r="N209" s="136"/>
      <c r="O209" s="136"/>
      <c r="P209" s="136"/>
      <c r="Q209" s="136"/>
      <c r="R209" s="136"/>
      <c r="S209" s="136"/>
    </row>
    <row r="210" spans="4:23" x14ac:dyDescent="0.2">
      <c r="D210" s="19"/>
      <c r="E210" s="1" t="s">
        <v>430</v>
      </c>
      <c r="J210" s="235">
        <f>K200</f>
        <v>162400</v>
      </c>
      <c r="K210" s="47"/>
      <c r="L210" s="136"/>
      <c r="M210" s="136"/>
      <c r="N210" s="136"/>
      <c r="O210" s="136"/>
      <c r="P210" s="136"/>
      <c r="Q210" s="136"/>
      <c r="R210" s="136"/>
      <c r="S210" s="136"/>
    </row>
    <row r="211" spans="4:23" x14ac:dyDescent="0.2">
      <c r="D211" s="19"/>
      <c r="E211" s="1" t="s">
        <v>428</v>
      </c>
      <c r="J211" s="236">
        <f>J209/J210</f>
        <v>0.80225985221674878</v>
      </c>
      <c r="K211" s="47"/>
      <c r="L211" s="136"/>
      <c r="M211" s="136"/>
      <c r="N211" s="136"/>
      <c r="O211" s="136"/>
      <c r="P211" s="136"/>
      <c r="Q211" s="136"/>
      <c r="R211" s="136"/>
      <c r="S211" s="136"/>
    </row>
    <row r="212" spans="4:23" x14ac:dyDescent="0.2">
      <c r="D212" s="98"/>
      <c r="J212" s="29"/>
      <c r="K212" s="136"/>
      <c r="L212" s="136"/>
      <c r="M212" s="136"/>
      <c r="N212" s="136"/>
      <c r="O212" s="136"/>
      <c r="P212" s="136"/>
      <c r="Q212" s="136"/>
      <c r="R212" s="136"/>
      <c r="S212" s="136"/>
    </row>
    <row r="213" spans="4:23" x14ac:dyDescent="0.2">
      <c r="D213" s="17" t="s">
        <v>45</v>
      </c>
      <c r="E213" s="32"/>
      <c r="F213" s="32"/>
      <c r="G213" s="32"/>
      <c r="H213" s="32"/>
      <c r="I213" s="32"/>
      <c r="J213" s="167"/>
      <c r="K213" s="94">
        <f>K205+K208</f>
        <v>22151</v>
      </c>
      <c r="L213" s="94">
        <f t="shared" ref="L213:W213" si="47">L205+L208</f>
        <v>66882.562911754998</v>
      </c>
      <c r="M213" s="94">
        <f t="shared" si="47"/>
        <v>89033.562911754998</v>
      </c>
      <c r="N213" s="94">
        <f t="shared" si="47"/>
        <v>173470.01675361348</v>
      </c>
      <c r="O213" s="94">
        <f t="shared" si="47"/>
        <v>229036.34617527435</v>
      </c>
      <c r="P213" s="94">
        <f t="shared" si="47"/>
        <v>270901.14765952271</v>
      </c>
      <c r="Q213" s="94">
        <f t="shared" si="47"/>
        <v>311178.20355903148</v>
      </c>
      <c r="R213" s="94">
        <f t="shared" si="47"/>
        <v>350831.80936701875</v>
      </c>
      <c r="S213" s="94">
        <f t="shared" si="47"/>
        <v>389175.63645166182</v>
      </c>
      <c r="T213" s="94">
        <f t="shared" si="47"/>
        <v>427383.40917413635</v>
      </c>
      <c r="U213" s="94">
        <f t="shared" si="47"/>
        <v>465834.38930881559</v>
      </c>
      <c r="V213" s="94">
        <f t="shared" si="47"/>
        <v>504846.78948394652</v>
      </c>
      <c r="W213" s="94">
        <f t="shared" si="47"/>
        <v>544752.90071616834</v>
      </c>
    </row>
    <row r="214" spans="4:23" x14ac:dyDescent="0.2">
      <c r="D214" s="18" t="s">
        <v>31</v>
      </c>
      <c r="J214" s="29"/>
      <c r="K214" s="136"/>
      <c r="L214" s="136"/>
      <c r="M214" s="136"/>
      <c r="N214" s="136"/>
      <c r="O214" s="136"/>
      <c r="P214" s="136"/>
      <c r="Q214" s="136"/>
      <c r="R214" s="136"/>
      <c r="S214" s="136"/>
    </row>
    <row r="215" spans="4:23" x14ac:dyDescent="0.2">
      <c r="D215" s="18" t="s">
        <v>46</v>
      </c>
      <c r="J215" s="29"/>
      <c r="K215" s="136"/>
      <c r="L215" s="136"/>
      <c r="M215" s="136"/>
      <c r="N215" s="136"/>
      <c r="O215" s="136"/>
      <c r="P215" s="136"/>
      <c r="Q215" s="136"/>
      <c r="R215" s="136"/>
      <c r="S215" s="136"/>
    </row>
    <row r="216" spans="4:23" x14ac:dyDescent="0.2">
      <c r="D216" s="18"/>
      <c r="J216" s="29"/>
      <c r="K216" s="136"/>
      <c r="L216" s="136"/>
      <c r="M216" s="136"/>
      <c r="N216" s="136"/>
      <c r="O216" s="136"/>
      <c r="P216" s="136"/>
      <c r="Q216" s="136"/>
      <c r="R216" s="136"/>
      <c r="S216" s="136"/>
    </row>
    <row r="217" spans="4:23" x14ac:dyDescent="0.2">
      <c r="D217" s="19" t="s">
        <v>47</v>
      </c>
      <c r="J217" s="29"/>
      <c r="K217" s="47">
        <f>Input!V33</f>
        <v>-40372</v>
      </c>
      <c r="L217" s="136">
        <f>-SUM(L112:L121)</f>
        <v>-40446.36</v>
      </c>
      <c r="M217" s="136">
        <f>K217+L217</f>
        <v>-80818.36</v>
      </c>
      <c r="N217" s="136">
        <f>-SUM(N112:N123)</f>
        <v>-89588.130935918482</v>
      </c>
      <c r="O217" s="136">
        <f>-SUM(O112:O123)</f>
        <v>-93611.531173355295</v>
      </c>
      <c r="P217" s="136">
        <f>-SUM(P112:P123)</f>
        <v>-97648.535418955027</v>
      </c>
      <c r="Q217" s="136">
        <f>-SUM(Q112:Q123)</f>
        <v>-101901.67665988876</v>
      </c>
      <c r="R217" s="136">
        <f>-SUM(R112:R123)</f>
        <v>-106387.07581227514</v>
      </c>
      <c r="S217" s="136">
        <f>-SUM(S112:S123)</f>
        <v>-111122.45597870635</v>
      </c>
      <c r="T217" s="136">
        <f>-SUM(T112:T123)</f>
        <v>-116127.32702258744</v>
      </c>
      <c r="U217" s="136">
        <f>-SUM(U112:U123)</f>
        <v>-121423.19261557375</v>
      </c>
      <c r="V217" s="136">
        <f>-SUM(V112:V123)</f>
        <v>-127033.7825443458</v>
      </c>
      <c r="W217" s="136">
        <f>-SUM(W112:W123)</f>
        <v>-132985.31341036156</v>
      </c>
    </row>
    <row r="218" spans="4:23" x14ac:dyDescent="0.2">
      <c r="D218" s="98"/>
      <c r="J218" s="29"/>
      <c r="K218" s="136"/>
      <c r="L218" s="136"/>
      <c r="M218" s="136"/>
      <c r="N218" s="136"/>
      <c r="O218" s="136"/>
      <c r="P218" s="136"/>
      <c r="Q218" s="136"/>
      <c r="R218" s="136"/>
      <c r="S218" s="136"/>
    </row>
    <row r="219" spans="4:23" x14ac:dyDescent="0.2">
      <c r="D219" s="32" t="s">
        <v>58</v>
      </c>
      <c r="E219" s="32"/>
      <c r="F219" s="32"/>
      <c r="G219" s="32"/>
      <c r="H219" s="32"/>
      <c r="I219" s="32"/>
      <c r="J219" s="167"/>
      <c r="K219" s="94">
        <f>K213+K217</f>
        <v>-18221</v>
      </c>
      <c r="L219" s="94">
        <f>L213+L217</f>
        <v>26436.202911754997</v>
      </c>
      <c r="M219" s="94">
        <f>M213+M217</f>
        <v>8215.2029117549973</v>
      </c>
      <c r="N219" s="94">
        <f>N213+N217</f>
        <v>83881.885817695002</v>
      </c>
      <c r="O219" s="94">
        <f>O213+O217</f>
        <v>135424.81500191905</v>
      </c>
      <c r="P219" s="94">
        <f>P213+P217</f>
        <v>173252.61224056769</v>
      </c>
      <c r="Q219" s="94">
        <f>Q213+Q217</f>
        <v>209276.52689914271</v>
      </c>
      <c r="R219" s="94">
        <f>R213+R217</f>
        <v>244444.73355474361</v>
      </c>
      <c r="S219" s="94">
        <f>S213+S217</f>
        <v>278053.18047295546</v>
      </c>
      <c r="T219" s="94">
        <f>T213+T217</f>
        <v>311256.08215154894</v>
      </c>
      <c r="U219" s="94">
        <f>U213+U217</f>
        <v>344411.19669324183</v>
      </c>
      <c r="V219" s="94">
        <f>V213+V217</f>
        <v>377813.00693960069</v>
      </c>
      <c r="W219" s="94">
        <f>W213+W217</f>
        <v>411767.58730580681</v>
      </c>
    </row>
    <row r="220" spans="4:23" x14ac:dyDescent="0.2">
      <c r="D220" s="18" t="s">
        <v>31</v>
      </c>
      <c r="J220" s="29"/>
      <c r="K220" s="136"/>
      <c r="L220" s="136"/>
      <c r="M220" s="136"/>
      <c r="N220" s="136"/>
      <c r="O220" s="136"/>
      <c r="P220" s="136"/>
      <c r="Q220" s="136"/>
      <c r="R220" s="136"/>
      <c r="S220" s="136"/>
    </row>
    <row r="221" spans="4:23" x14ac:dyDescent="0.2">
      <c r="D221" s="18" t="s">
        <v>59</v>
      </c>
      <c r="J221" s="29"/>
      <c r="K221" s="136"/>
      <c r="L221" s="136"/>
      <c r="M221" s="136"/>
      <c r="N221" s="136"/>
      <c r="O221" s="136"/>
      <c r="P221" s="136"/>
      <c r="Q221" s="136"/>
      <c r="R221" s="136"/>
      <c r="S221" s="136"/>
    </row>
    <row r="222" spans="4:23" x14ac:dyDescent="0.2">
      <c r="D222" s="18"/>
      <c r="J222" s="29"/>
      <c r="K222" s="136"/>
      <c r="L222" s="136"/>
      <c r="M222" s="136"/>
      <c r="N222" s="136"/>
      <c r="O222" s="136"/>
      <c r="P222" s="136"/>
      <c r="Q222" s="136"/>
      <c r="R222" s="136"/>
      <c r="S222" s="136"/>
    </row>
    <row r="223" spans="4:23" x14ac:dyDescent="0.2">
      <c r="D223" s="97" t="s">
        <v>60</v>
      </c>
      <c r="J223" s="29"/>
      <c r="K223" s="177">
        <f>Input!V49</f>
        <v>-7332</v>
      </c>
      <c r="L223" s="136">
        <f>-L149</f>
        <v>-4422</v>
      </c>
      <c r="M223" s="136">
        <f>K223+L223</f>
        <v>-11754</v>
      </c>
      <c r="N223" s="136">
        <f>-N149</f>
        <v>-8844</v>
      </c>
      <c r="O223" s="136">
        <f t="shared" ref="O223:W223" si="48">-O149</f>
        <v>-9197.76</v>
      </c>
      <c r="P223" s="136">
        <f t="shared" si="48"/>
        <v>-9565.6704000000009</v>
      </c>
      <c r="Q223" s="136">
        <f t="shared" si="48"/>
        <v>-9948.2972160000008</v>
      </c>
      <c r="R223" s="136">
        <f t="shared" si="48"/>
        <v>-10346.229104640001</v>
      </c>
      <c r="S223" s="136">
        <f t="shared" si="48"/>
        <v>-10760.0782688256</v>
      </c>
      <c r="T223" s="136">
        <f t="shared" si="48"/>
        <v>-11190.481399578624</v>
      </c>
      <c r="U223" s="136">
        <f t="shared" si="48"/>
        <v>-11638.10065556177</v>
      </c>
      <c r="V223" s="136">
        <f t="shared" si="48"/>
        <v>-12103.62468178424</v>
      </c>
      <c r="W223" s="136">
        <f t="shared" si="48"/>
        <v>-12587.769669055609</v>
      </c>
    </row>
    <row r="224" spans="4:23" x14ac:dyDescent="0.2">
      <c r="D224" s="97"/>
      <c r="J224" s="29"/>
      <c r="K224" s="136"/>
      <c r="L224" s="136"/>
      <c r="M224" s="136"/>
      <c r="N224" s="136"/>
      <c r="O224" s="136"/>
      <c r="P224" s="136"/>
      <c r="Q224" s="136"/>
      <c r="R224" s="136"/>
      <c r="S224" s="136"/>
    </row>
    <row r="225" spans="4:23" x14ac:dyDescent="0.2">
      <c r="D225" s="99" t="s">
        <v>61</v>
      </c>
      <c r="E225" s="32"/>
      <c r="F225" s="32"/>
      <c r="G225" s="32"/>
      <c r="H225" s="32"/>
      <c r="I225" s="32"/>
      <c r="J225" s="167"/>
      <c r="K225" s="94">
        <f>K219+K223</f>
        <v>-25553</v>
      </c>
      <c r="L225" s="94">
        <f t="shared" ref="L225:W225" si="49">L219+L223</f>
        <v>22014.202911754997</v>
      </c>
      <c r="M225" s="94">
        <f t="shared" si="49"/>
        <v>-3538.7970882450027</v>
      </c>
      <c r="N225" s="94">
        <f t="shared" si="49"/>
        <v>75037.885817695002</v>
      </c>
      <c r="O225" s="94">
        <f t="shared" si="49"/>
        <v>126227.05500191906</v>
      </c>
      <c r="P225" s="94">
        <f t="shared" si="49"/>
        <v>163686.94184056768</v>
      </c>
      <c r="Q225" s="94">
        <f t="shared" si="49"/>
        <v>199328.22968314271</v>
      </c>
      <c r="R225" s="94">
        <f t="shared" si="49"/>
        <v>234098.50445010362</v>
      </c>
      <c r="S225" s="94">
        <f t="shared" si="49"/>
        <v>267293.10220412986</v>
      </c>
      <c r="T225" s="94">
        <f t="shared" si="49"/>
        <v>300065.60075197031</v>
      </c>
      <c r="U225" s="94">
        <f t="shared" si="49"/>
        <v>332773.09603768005</v>
      </c>
      <c r="V225" s="94">
        <f t="shared" si="49"/>
        <v>365709.38225781644</v>
      </c>
      <c r="W225" s="94">
        <f t="shared" si="49"/>
        <v>399179.81763675122</v>
      </c>
    </row>
    <row r="226" spans="4:23" x14ac:dyDescent="0.2">
      <c r="D226" s="18" t="s">
        <v>31</v>
      </c>
      <c r="J226" s="29"/>
      <c r="K226" s="136"/>
      <c r="L226" s="136"/>
      <c r="M226" s="136"/>
      <c r="N226" s="136"/>
      <c r="O226" s="136"/>
      <c r="P226" s="136"/>
      <c r="Q226" s="136"/>
      <c r="R226" s="136"/>
      <c r="S226" s="136"/>
    </row>
    <row r="227" spans="4:23" x14ac:dyDescent="0.2">
      <c r="D227" s="18" t="s">
        <v>62</v>
      </c>
      <c r="J227" s="29"/>
      <c r="K227" s="136"/>
      <c r="L227" s="136"/>
      <c r="M227" s="136"/>
      <c r="N227" s="136"/>
      <c r="O227" s="136"/>
      <c r="P227" s="136"/>
      <c r="Q227" s="136"/>
      <c r="R227" s="136"/>
      <c r="S227" s="136"/>
    </row>
    <row r="228" spans="4:23" x14ac:dyDescent="0.2">
      <c r="D228" s="98"/>
      <c r="J228" s="29"/>
      <c r="K228" s="136"/>
      <c r="L228" s="136"/>
      <c r="M228" s="136" t="s">
        <v>429</v>
      </c>
      <c r="N228" s="136"/>
      <c r="O228" s="136"/>
      <c r="P228" s="136"/>
      <c r="Q228" s="136"/>
      <c r="R228" s="136"/>
      <c r="S228" s="136"/>
    </row>
    <row r="229" spans="4:23" x14ac:dyDescent="0.2">
      <c r="D229" s="33" t="s">
        <v>63</v>
      </c>
      <c r="E229" s="3"/>
      <c r="J229" s="29"/>
      <c r="K229" s="47">
        <f>Input!V55</f>
        <v>-3411</v>
      </c>
      <c r="L229" s="136">
        <f>-L172</f>
        <v>-23976.387461455928</v>
      </c>
      <c r="M229" s="136">
        <f>K229+L229</f>
        <v>-27387.387461455928</v>
      </c>
      <c r="N229" s="136">
        <f t="shared" ref="N229:W229" si="50">-N172</f>
        <v>-44208.030210660283</v>
      </c>
      <c r="O229" s="136">
        <f t="shared" si="50"/>
        <v>-41711.305570679178</v>
      </c>
      <c r="P229" s="136">
        <f t="shared" si="50"/>
        <v>-39839.375385314008</v>
      </c>
      <c r="Q229" s="136">
        <f t="shared" si="50"/>
        <v>-39839.375385314008</v>
      </c>
      <c r="R229" s="136">
        <f t="shared" si="50"/>
        <v>-37183.417026293071</v>
      </c>
      <c r="S229" s="136">
        <f t="shared" si="50"/>
        <v>-34527.458667272142</v>
      </c>
      <c r="T229" s="136">
        <f t="shared" si="50"/>
        <v>-31871.500308251208</v>
      </c>
      <c r="U229" s="136">
        <f t="shared" si="50"/>
        <v>-29215.541949230279</v>
      </c>
      <c r="V229" s="136">
        <f t="shared" si="50"/>
        <v>-26559.583590209346</v>
      </c>
      <c r="W229" s="136">
        <f t="shared" si="50"/>
        <v>-23903.625231188413</v>
      </c>
    </row>
    <row r="230" spans="4:23" x14ac:dyDescent="0.2">
      <c r="D230" s="98"/>
      <c r="J230" s="29"/>
      <c r="K230" s="136"/>
      <c r="L230" s="136"/>
      <c r="M230" s="136"/>
      <c r="N230" s="136"/>
      <c r="O230" s="136"/>
      <c r="P230" s="136"/>
      <c r="Q230" s="136"/>
      <c r="R230" s="136"/>
      <c r="S230" s="136"/>
    </row>
    <row r="231" spans="4:23" x14ac:dyDescent="0.2">
      <c r="D231" s="33" t="s">
        <v>66</v>
      </c>
      <c r="E231" s="3"/>
      <c r="J231" s="29"/>
      <c r="K231" s="47">
        <f>Input!V59</f>
        <v>3000</v>
      </c>
      <c r="L231" s="136">
        <f>0</f>
        <v>0</v>
      </c>
      <c r="M231" s="47">
        <f>K231+L231</f>
        <v>3000</v>
      </c>
      <c r="N231" s="136"/>
      <c r="O231" s="136"/>
      <c r="P231" s="136"/>
      <c r="Q231" s="136"/>
      <c r="R231" s="136"/>
      <c r="S231" s="136"/>
    </row>
    <row r="232" spans="4:23" x14ac:dyDescent="0.2">
      <c r="D232" s="98"/>
      <c r="J232" s="29"/>
      <c r="K232" s="136"/>
      <c r="L232" s="136"/>
      <c r="M232" s="136"/>
      <c r="N232" s="136"/>
      <c r="O232" s="136"/>
      <c r="P232" s="136"/>
      <c r="Q232" s="136"/>
      <c r="R232" s="136"/>
      <c r="S232" s="136"/>
    </row>
    <row r="233" spans="4:23" x14ac:dyDescent="0.2">
      <c r="D233" s="17" t="s">
        <v>68</v>
      </c>
      <c r="E233" s="32"/>
      <c r="F233" s="32"/>
      <c r="G233" s="32"/>
      <c r="H233" s="32"/>
      <c r="I233" s="32"/>
      <c r="J233" s="167"/>
      <c r="K233" s="94">
        <f>K225+K229+K231</f>
        <v>-25964</v>
      </c>
      <c r="L233" s="94">
        <f t="shared" ref="L233:W233" si="51">L225+L229+L231</f>
        <v>-1962.1845497009308</v>
      </c>
      <c r="M233" s="94">
        <f t="shared" si="51"/>
        <v>-27926.184549700931</v>
      </c>
      <c r="N233" s="94">
        <f t="shared" si="51"/>
        <v>30829.855607034719</v>
      </c>
      <c r="O233" s="94">
        <f t="shared" si="51"/>
        <v>84515.749431239878</v>
      </c>
      <c r="P233" s="94">
        <f t="shared" si="51"/>
        <v>123847.56645525368</v>
      </c>
      <c r="Q233" s="94">
        <f t="shared" si="51"/>
        <v>159488.85429782869</v>
      </c>
      <c r="R233" s="94">
        <f t="shared" si="51"/>
        <v>196915.08742381056</v>
      </c>
      <c r="S233" s="94">
        <f t="shared" si="51"/>
        <v>232765.64353685771</v>
      </c>
      <c r="T233" s="94">
        <f t="shared" si="51"/>
        <v>268194.10044371913</v>
      </c>
      <c r="U233" s="94">
        <f t="shared" si="51"/>
        <v>303557.55408844975</v>
      </c>
      <c r="V233" s="94">
        <f t="shared" si="51"/>
        <v>339149.79866760707</v>
      </c>
      <c r="W233" s="94">
        <f t="shared" si="51"/>
        <v>375276.19240556279</v>
      </c>
    </row>
    <row r="234" spans="4:23" x14ac:dyDescent="0.2">
      <c r="D234" s="18" t="s">
        <v>31</v>
      </c>
      <c r="J234" s="29"/>
      <c r="K234" s="136"/>
      <c r="L234" s="136"/>
      <c r="M234" s="136"/>
      <c r="N234" s="136"/>
      <c r="O234" s="136"/>
      <c r="P234" s="136"/>
      <c r="Q234" s="136"/>
      <c r="R234" s="136"/>
      <c r="S234" s="136"/>
    </row>
    <row r="235" spans="4:23" x14ac:dyDescent="0.2">
      <c r="D235" s="33"/>
      <c r="J235" s="29"/>
      <c r="K235" s="136"/>
      <c r="L235" s="136"/>
      <c r="M235" s="136"/>
      <c r="N235" s="136"/>
      <c r="O235" s="136"/>
      <c r="P235" s="136"/>
      <c r="Q235" s="136"/>
      <c r="R235" s="136"/>
      <c r="S235" s="136"/>
    </row>
    <row r="236" spans="4:23" x14ac:dyDescent="0.2">
      <c r="D236" s="19" t="s">
        <v>69</v>
      </c>
      <c r="J236" s="29"/>
      <c r="K236" s="136">
        <f>Input!V65</f>
        <v>0</v>
      </c>
      <c r="L236" s="136">
        <f>0</f>
        <v>0</v>
      </c>
      <c r="M236" s="136">
        <f>K236+L236</f>
        <v>0</v>
      </c>
      <c r="N236" s="136">
        <f>-N233*N237</f>
        <v>-4624.4783410552072</v>
      </c>
      <c r="O236" s="136">
        <f t="shared" ref="O236:W236" si="52">-O233*O237</f>
        <v>-12677.362414685982</v>
      </c>
      <c r="P236" s="136">
        <f t="shared" si="52"/>
        <v>-18577.13496828805</v>
      </c>
      <c r="Q236" s="136">
        <f t="shared" si="52"/>
        <v>-23923.328144674302</v>
      </c>
      <c r="R236" s="136">
        <f t="shared" si="52"/>
        <v>-29537.263113571582</v>
      </c>
      <c r="S236" s="136">
        <f t="shared" si="52"/>
        <v>-34914.846530528652</v>
      </c>
      <c r="T236" s="136">
        <f t="shared" si="52"/>
        <v>-67048.525110929782</v>
      </c>
      <c r="U236" s="136">
        <f t="shared" si="52"/>
        <v>-75889.388522112436</v>
      </c>
      <c r="V236" s="136">
        <f t="shared" si="52"/>
        <v>-84787.449666901768</v>
      </c>
      <c r="W236" s="136">
        <f t="shared" si="52"/>
        <v>-93819.048101390697</v>
      </c>
    </row>
    <row r="237" spans="4:23" x14ac:dyDescent="0.2">
      <c r="D237" s="18" t="s">
        <v>70</v>
      </c>
      <c r="J237" s="29"/>
      <c r="K237" s="248"/>
      <c r="L237" s="248"/>
      <c r="M237" s="248"/>
      <c r="N237" s="116">
        <v>0.15</v>
      </c>
      <c r="O237" s="116">
        <v>0.15</v>
      </c>
      <c r="P237" s="116">
        <v>0.15</v>
      </c>
      <c r="Q237" s="116">
        <v>0.15</v>
      </c>
      <c r="R237" s="116">
        <v>0.15</v>
      </c>
      <c r="S237" s="116">
        <v>0.15</v>
      </c>
      <c r="T237" s="116">
        <f>25%</f>
        <v>0.25</v>
      </c>
      <c r="U237" s="116">
        <f>25%</f>
        <v>0.25</v>
      </c>
      <c r="V237" s="116">
        <f>25%</f>
        <v>0.25</v>
      </c>
      <c r="W237" s="116">
        <f>25%</f>
        <v>0.25</v>
      </c>
    </row>
    <row r="238" spans="4:23" x14ac:dyDescent="0.2">
      <c r="D238" s="19"/>
      <c r="J238" s="29"/>
      <c r="K238" s="136"/>
      <c r="L238" s="136"/>
      <c r="M238" s="136"/>
      <c r="N238" s="136"/>
      <c r="O238" s="136"/>
      <c r="P238" s="136"/>
      <c r="Q238" s="136"/>
      <c r="R238" s="136"/>
      <c r="S238" s="136"/>
    </row>
    <row r="239" spans="4:23" x14ac:dyDescent="0.2">
      <c r="D239" s="17" t="s">
        <v>71</v>
      </c>
      <c r="E239" s="32"/>
      <c r="F239" s="32"/>
      <c r="G239" s="32"/>
      <c r="H239" s="32"/>
      <c r="I239" s="32"/>
      <c r="J239" s="167"/>
      <c r="K239" s="94">
        <f>K233+K236</f>
        <v>-25964</v>
      </c>
      <c r="L239" s="94">
        <f>L233+L236</f>
        <v>-1962.1845497009308</v>
      </c>
      <c r="M239" s="94">
        <f>M233+M236</f>
        <v>-27926.184549700931</v>
      </c>
      <c r="N239" s="94">
        <f t="shared" ref="N239:W239" si="53">N233+N236</f>
        <v>26205.37726597951</v>
      </c>
      <c r="O239" s="94">
        <f t="shared" si="53"/>
        <v>71838.387016553897</v>
      </c>
      <c r="P239" s="94">
        <f t="shared" si="53"/>
        <v>105270.43148696562</v>
      </c>
      <c r="Q239" s="94">
        <f t="shared" si="53"/>
        <v>135565.52615315438</v>
      </c>
      <c r="R239" s="94">
        <f t="shared" si="53"/>
        <v>167377.82431023897</v>
      </c>
      <c r="S239" s="94">
        <f t="shared" si="53"/>
        <v>197850.79700632906</v>
      </c>
      <c r="T239" s="94">
        <f t="shared" si="53"/>
        <v>201145.57533278933</v>
      </c>
      <c r="U239" s="94">
        <f t="shared" si="53"/>
        <v>227668.16556633729</v>
      </c>
      <c r="V239" s="94">
        <f t="shared" si="53"/>
        <v>254362.34900070529</v>
      </c>
      <c r="W239" s="94">
        <f t="shared" si="53"/>
        <v>281457.14430417208</v>
      </c>
    </row>
    <row r="240" spans="4:23" x14ac:dyDescent="0.2">
      <c r="D240" s="18" t="s">
        <v>31</v>
      </c>
      <c r="J240" s="29"/>
    </row>
    <row r="241" spans="2:23" x14ac:dyDescent="0.2">
      <c r="D241" s="18" t="s">
        <v>72</v>
      </c>
      <c r="J241" s="29"/>
    </row>
    <row r="242" spans="2:23" x14ac:dyDescent="0.2">
      <c r="J242" s="29"/>
    </row>
    <row r="243" spans="2:23" x14ac:dyDescent="0.2">
      <c r="K243" s="47"/>
      <c r="L243" s="47"/>
      <c r="M243" s="47"/>
      <c r="N243" s="47"/>
      <c r="O243" s="47"/>
      <c r="P243" s="47"/>
      <c r="Q243" s="47"/>
      <c r="R243" s="47"/>
      <c r="S243" s="47"/>
    </row>
    <row r="244" spans="2:23" x14ac:dyDescent="0.2">
      <c r="B244" s="10"/>
      <c r="C244" s="13" t="s">
        <v>73</v>
      </c>
      <c r="D244" s="13"/>
      <c r="E244" s="11"/>
      <c r="F244" s="11"/>
      <c r="G244" s="11"/>
      <c r="H244" s="11"/>
      <c r="I244" s="11"/>
      <c r="J244" s="39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</row>
    <row r="245" spans="2:23" ht="15.75" thickBot="1" x14ac:dyDescent="0.25">
      <c r="D245" s="16"/>
      <c r="K245" s="47"/>
      <c r="L245" s="47"/>
      <c r="M245" s="47"/>
      <c r="N245" s="47"/>
      <c r="O245" s="47"/>
      <c r="P245" s="47"/>
      <c r="Q245" s="47"/>
      <c r="R245" s="47"/>
      <c r="S245" s="47"/>
    </row>
    <row r="246" spans="2:23" ht="15.75" thickBot="1" x14ac:dyDescent="0.25">
      <c r="D246" s="21" t="s">
        <v>74</v>
      </c>
      <c r="E246" s="22"/>
      <c r="F246" s="22"/>
      <c r="G246" s="22"/>
      <c r="H246" s="22"/>
      <c r="I246" s="22"/>
      <c r="J246" s="168"/>
      <c r="K246" s="108">
        <f>K248+K255</f>
        <v>148926</v>
      </c>
      <c r="L246" s="108">
        <f>L248+L255</f>
        <v>488196.43273521273</v>
      </c>
      <c r="M246" s="108">
        <f>M248+M255</f>
        <v>488196.43273521273</v>
      </c>
      <c r="N246" s="108">
        <f>N248+N255</f>
        <v>567700.08528390341</v>
      </c>
      <c r="O246" s="108">
        <f>O248+O255</f>
        <v>711979.15184656368</v>
      </c>
      <c r="P246" s="108">
        <f>P248+P255</f>
        <v>873024.83891025069</v>
      </c>
      <c r="Q246" s="108">
        <f>Q248+Q255</f>
        <v>1045680.7618115766</v>
      </c>
      <c r="R246" s="108">
        <f>R248+R255</f>
        <v>1249388.5572040672</v>
      </c>
      <c r="S246" s="108">
        <f>S248+S255</f>
        <v>1481917.1222048437</v>
      </c>
      <c r="T246" s="108">
        <f>T248+T255</f>
        <v>1717618.9274621562</v>
      </c>
      <c r="U246" s="108">
        <f>U248+U255</f>
        <v>1980217.8983281665</v>
      </c>
      <c r="V246" s="108">
        <f>V248+V255</f>
        <v>2270302.3234504871</v>
      </c>
      <c r="W246" s="108">
        <f>W248+W255</f>
        <v>2588707.934772877</v>
      </c>
    </row>
    <row r="247" spans="2:23" x14ac:dyDescent="0.2">
      <c r="D247" s="33"/>
      <c r="J247" s="29"/>
      <c r="K247" s="47"/>
      <c r="L247" s="47"/>
      <c r="M247" s="47"/>
      <c r="N247" s="47"/>
      <c r="O247" s="47"/>
      <c r="P247" s="47"/>
      <c r="Q247" s="47"/>
      <c r="R247" s="47"/>
      <c r="S247" s="47"/>
    </row>
    <row r="248" spans="2:23" x14ac:dyDescent="0.2">
      <c r="D248" s="17" t="s">
        <v>75</v>
      </c>
      <c r="E248" s="20"/>
      <c r="F248" s="20"/>
      <c r="G248" s="20"/>
      <c r="H248" s="20"/>
      <c r="I248" s="20"/>
      <c r="J248" s="169"/>
      <c r="K248" s="94">
        <f>SUM(K250:K253)</f>
        <v>99766</v>
      </c>
      <c r="L248" s="94">
        <f>SUM(L250:L253)</f>
        <v>222358.43273521276</v>
      </c>
      <c r="M248" s="94">
        <f t="shared" ref="L248:W248" si="54">SUM(M250:M253)</f>
        <v>222358.43273521276</v>
      </c>
      <c r="N248" s="94">
        <f t="shared" si="54"/>
        <v>301862.08528390346</v>
      </c>
      <c r="O248" s="94">
        <f>SUM(O250:O253)</f>
        <v>446141.15184656373</v>
      </c>
      <c r="P248" s="94">
        <f>SUM(P250:P253)</f>
        <v>607186.83891025069</v>
      </c>
      <c r="Q248" s="94">
        <f>SUM(Q250:Q253)</f>
        <v>779842.76181157655</v>
      </c>
      <c r="R248" s="94">
        <f>SUM(R250:R253)</f>
        <v>983550.55720406724</v>
      </c>
      <c r="S248" s="94">
        <f>SUM(S250:S253)</f>
        <v>1216079.1222048437</v>
      </c>
      <c r="T248" s="94">
        <f>SUM(T250:T253)</f>
        <v>1451780.9274621562</v>
      </c>
      <c r="U248" s="94">
        <f>SUM(U250:U253)</f>
        <v>1714379.8983281665</v>
      </c>
      <c r="V248" s="94">
        <f>SUM(V250:V253)</f>
        <v>2004464.3234504873</v>
      </c>
      <c r="W248" s="94">
        <f>SUM(W250:W253)</f>
        <v>2322869.934772877</v>
      </c>
    </row>
    <row r="249" spans="2:23" x14ac:dyDescent="0.2">
      <c r="D249" s="33"/>
      <c r="J249" s="29"/>
      <c r="K249" s="47"/>
      <c r="L249" s="47"/>
      <c r="M249" s="47"/>
      <c r="N249" s="47"/>
      <c r="O249" s="47"/>
      <c r="P249" s="47"/>
      <c r="Q249" s="47"/>
      <c r="R249" s="47"/>
      <c r="S249" s="47"/>
    </row>
    <row r="250" spans="2:23" x14ac:dyDescent="0.2">
      <c r="E250" s="102" t="s">
        <v>438</v>
      </c>
      <c r="J250" s="29"/>
      <c r="K250" s="246">
        <f>Input!V79+Input!V80+Input!V81</f>
        <v>51000</v>
      </c>
      <c r="L250" s="47">
        <f>L308</f>
        <v>91636.423679070605</v>
      </c>
      <c r="M250" s="47">
        <f>L250</f>
        <v>91636.423679070605</v>
      </c>
      <c r="N250" s="47">
        <f>N308</f>
        <v>132338.45973927376</v>
      </c>
      <c r="O250" s="47">
        <f>O308</f>
        <v>232571.44107927976</v>
      </c>
      <c r="P250" s="47">
        <f>P308</f>
        <v>354579.42214726249</v>
      </c>
      <c r="Q250" s="47">
        <f>Q308</f>
        <v>489678.16548882984</v>
      </c>
      <c r="R250" s="47">
        <f>R308</f>
        <v>656410.13034300564</v>
      </c>
      <c r="S250" s="47">
        <f>S308</f>
        <v>853184.19525273063</v>
      </c>
      <c r="T250" s="1">
        <f>T308</f>
        <v>1053258.3671423835</v>
      </c>
      <c r="U250" s="1">
        <f>U308</f>
        <v>1280002.9208243296</v>
      </c>
      <c r="V250" s="1">
        <f>V308</f>
        <v>1533709.420954064</v>
      </c>
      <c r="W250" s="1">
        <f>W308</f>
        <v>1814903.7477967821</v>
      </c>
    </row>
    <row r="251" spans="2:23" x14ac:dyDescent="0.2">
      <c r="E251" s="102" t="s">
        <v>439</v>
      </c>
      <c r="J251" s="29"/>
      <c r="K251" s="246">
        <f>Input!V82+Input!V83+Input!V84</f>
        <v>31072</v>
      </c>
      <c r="L251" s="47">
        <f>L200*L193/(365*L18)</f>
        <v>93720.216453358531</v>
      </c>
      <c r="M251" s="47">
        <f>L251</f>
        <v>93720.216453358531</v>
      </c>
      <c r="N251" s="47">
        <f>N200*N193/(365*N18)</f>
        <v>121538.75995875603</v>
      </c>
      <c r="O251" s="47">
        <f>O200*O193/(365*O18)</f>
        <v>150626.71494684249</v>
      </c>
      <c r="P251" s="47">
        <f>P200*P193/(365*P18)</f>
        <v>178159.27746269875</v>
      </c>
      <c r="Q251" s="47">
        <f>Q200*Q193/(365*Q18)</f>
        <v>204647.65242669071</v>
      </c>
      <c r="R251" s="47">
        <f>R200*R193/(365*R18)</f>
        <v>230726.01281968836</v>
      </c>
      <c r="S251" s="47">
        <f>S200*S193/(365*S18)</f>
        <v>255942.99173459667</v>
      </c>
      <c r="T251" s="177">
        <f>T200*T193/(365*T18)</f>
        <v>281070.49392683705</v>
      </c>
      <c r="U251" s="177">
        <f>U200*U193/(365*U18)</f>
        <v>306357.94249511271</v>
      </c>
      <c r="V251" s="177">
        <f>V200*V193/(365*V18)</f>
        <v>332014.61131078901</v>
      </c>
      <c r="W251" s="177">
        <f>W200*W193/(365*W18)</f>
        <v>358259.03295648226</v>
      </c>
    </row>
    <row r="252" spans="2:23" x14ac:dyDescent="0.2">
      <c r="E252" s="102" t="s">
        <v>440</v>
      </c>
      <c r="J252" s="29"/>
      <c r="K252" s="246">
        <f>Input!V85+Input!V86+Input!V87</f>
        <v>1770</v>
      </c>
      <c r="L252" s="47">
        <f>(L200/L18)*($K$252/($K$200/$K$18))</f>
        <v>3927.3361625615767</v>
      </c>
      <c r="M252" s="47">
        <f>L252</f>
        <v>3927.3361625615767</v>
      </c>
      <c r="N252" s="47">
        <f>(N200/N18)*($K$252/($K$200/$K$18))</f>
        <v>5093.0694059638863</v>
      </c>
      <c r="O252" s="47">
        <f>(O200/O18)*($K$252/($K$200/$K$18))</f>
        <v>6311.9972087664755</v>
      </c>
      <c r="P252" s="47">
        <f>(P200/P18)*($K$252/($K$200/$K$18))</f>
        <v>7465.7464478148304</v>
      </c>
      <c r="Q252" s="47">
        <f>(Q200/Q18)*($K$252/($K$200/$K$18))</f>
        <v>8575.7391134351474</v>
      </c>
      <c r="R252" s="47">
        <f>(R200/R18)*($K$252/($K$200/$K$18))</f>
        <v>9668.5501600539264</v>
      </c>
      <c r="S252" s="47">
        <f>(S200/S18)*($K$252/($K$200/$K$18))</f>
        <v>10725.265103220525</v>
      </c>
      <c r="T252" s="1">
        <f>(T200/T18)*($K$252/($K$200/$K$18))</f>
        <v>11778.230533401138</v>
      </c>
      <c r="U252" s="1">
        <f>(U200/U18)*($K$252/($K$200/$K$18))</f>
        <v>12837.898500242951</v>
      </c>
      <c r="V252" s="1">
        <f>(V200/V18)*($K$252/($K$200/$K$18))</f>
        <v>13913.038604094689</v>
      </c>
      <c r="W252" s="1">
        <f>(W200/W18)*($K$252/($K$200/$K$18))</f>
        <v>15012.808430660765</v>
      </c>
    </row>
    <row r="253" spans="2:23" x14ac:dyDescent="0.2">
      <c r="E253" s="102" t="s">
        <v>393</v>
      </c>
      <c r="J253" s="29"/>
      <c r="K253" s="246">
        <f>Input!V88</f>
        <v>15924</v>
      </c>
      <c r="L253" s="47">
        <f>-L208*L195/(365*L18)</f>
        <v>33074.456440222049</v>
      </c>
      <c r="M253" s="47">
        <f>L253</f>
        <v>33074.456440222049</v>
      </c>
      <c r="N253" s="47">
        <f>-N208*N195/(365*N18)</f>
        <v>42891.796179909768</v>
      </c>
      <c r="O253" s="47">
        <f>-O208*O195/(365*O18)</f>
        <v>56630.998611675001</v>
      </c>
      <c r="P253" s="47">
        <f>-P208*P195/(365*P18)</f>
        <v>66982.392852474601</v>
      </c>
      <c r="Q253" s="47">
        <f>-Q208*Q195/(365*Q18)</f>
        <v>76941.204782620873</v>
      </c>
      <c r="R253" s="47">
        <f>-R208*R195/(365*R18)</f>
        <v>86745.863881319296</v>
      </c>
      <c r="S253" s="47">
        <f>-S208*S195/(365*S18)</f>
        <v>96226.670114295863</v>
      </c>
      <c r="T253" s="47">
        <f>-T208*T195/(365*T18)</f>
        <v>105673.83585953443</v>
      </c>
      <c r="U253" s="47">
        <f>-U208*U195/(365*U18)</f>
        <v>115181.1365084811</v>
      </c>
      <c r="V253" s="47">
        <f>-V208*V195/(365*V18)</f>
        <v>124827.25258153981</v>
      </c>
      <c r="W253" s="47">
        <f>-W208*W195/(365*W18)</f>
        <v>134694.34558895207</v>
      </c>
    </row>
    <row r="254" spans="2:23" x14ac:dyDescent="0.2">
      <c r="E254" s="103"/>
      <c r="J254" s="29"/>
      <c r="K254" s="47"/>
      <c r="L254" s="47"/>
      <c r="M254" s="47"/>
      <c r="N254" s="47"/>
      <c r="O254" s="47"/>
      <c r="P254" s="47"/>
      <c r="Q254" s="47"/>
      <c r="R254" s="47"/>
      <c r="S254" s="47"/>
    </row>
    <row r="255" spans="2:23" x14ac:dyDescent="0.2">
      <c r="D255" s="105" t="s">
        <v>85</v>
      </c>
      <c r="E255" s="32"/>
      <c r="F255" s="32"/>
      <c r="G255" s="32"/>
      <c r="H255" s="32"/>
      <c r="I255" s="32"/>
      <c r="J255" s="167"/>
      <c r="K255" s="94">
        <f>SUM(K257:K261)</f>
        <v>49160</v>
      </c>
      <c r="L255" s="94">
        <f>SUM(L257:L261)</f>
        <v>265838</v>
      </c>
      <c r="M255" s="94">
        <f>SUM(M257:M261)</f>
        <v>265838</v>
      </c>
      <c r="N255" s="94">
        <f>SUM(N257:N261)</f>
        <v>265838</v>
      </c>
      <c r="O255" s="94">
        <f>SUM(O257:O261)</f>
        <v>265838</v>
      </c>
      <c r="P255" s="94">
        <f>SUM(P257:P261)</f>
        <v>265837.99999999994</v>
      </c>
      <c r="Q255" s="94">
        <f>SUM(Q257:Q261)</f>
        <v>265838</v>
      </c>
      <c r="R255" s="94">
        <f>SUM(R257:R261)</f>
        <v>265837.99999999994</v>
      </c>
      <c r="S255" s="94">
        <f>SUM(S257:S261)</f>
        <v>265838</v>
      </c>
      <c r="T255" s="94">
        <f>SUM(T257:T261)</f>
        <v>265838</v>
      </c>
      <c r="U255" s="94">
        <f>SUM(U257:U261)</f>
        <v>265838</v>
      </c>
      <c r="V255" s="94">
        <f>SUM(V257:V261)</f>
        <v>265837.99999999994</v>
      </c>
      <c r="W255" s="94">
        <f>SUM(W257:W261)</f>
        <v>265837.99999999994</v>
      </c>
    </row>
    <row r="256" spans="2:23" x14ac:dyDescent="0.2">
      <c r="E256" s="103"/>
      <c r="J256" s="29"/>
      <c r="K256" s="47"/>
      <c r="L256" s="47"/>
      <c r="M256" s="47"/>
      <c r="N256" s="47"/>
      <c r="O256" s="47"/>
      <c r="P256" s="47"/>
      <c r="Q256" s="47"/>
      <c r="R256" s="47"/>
      <c r="S256" s="47"/>
    </row>
    <row r="257" spans="4:23" x14ac:dyDescent="0.2">
      <c r="E257" s="102" t="s">
        <v>86</v>
      </c>
      <c r="J257" s="29"/>
      <c r="K257" s="246">
        <f>Input!V92</f>
        <v>101900</v>
      </c>
      <c r="L257" s="47">
        <f>K257+$K$129</f>
        <v>323000</v>
      </c>
      <c r="M257" s="47">
        <f>L257</f>
        <v>323000</v>
      </c>
      <c r="N257" s="47">
        <f>M257</f>
        <v>323000</v>
      </c>
      <c r="O257" s="47">
        <f>N257</f>
        <v>323000</v>
      </c>
      <c r="P257" s="47">
        <f>O257</f>
        <v>323000</v>
      </c>
      <c r="Q257" s="47">
        <f>P257</f>
        <v>323000</v>
      </c>
      <c r="R257" s="47">
        <f>Q257</f>
        <v>323000</v>
      </c>
      <c r="S257" s="47">
        <f>R257</f>
        <v>323000</v>
      </c>
      <c r="T257" s="1">
        <f>S257</f>
        <v>323000</v>
      </c>
      <c r="U257" s="1">
        <f>T257</f>
        <v>323000</v>
      </c>
      <c r="V257" s="1">
        <f>U257</f>
        <v>323000</v>
      </c>
      <c r="W257" s="1">
        <f>V257</f>
        <v>323000</v>
      </c>
    </row>
    <row r="258" spans="4:23" x14ac:dyDescent="0.2">
      <c r="E258" s="102" t="s">
        <v>87</v>
      </c>
      <c r="J258" s="29"/>
      <c r="K258" s="246">
        <f>Input!V93</f>
        <v>112000</v>
      </c>
      <c r="L258" s="47">
        <f>K258</f>
        <v>112000</v>
      </c>
      <c r="M258" s="47">
        <f>L258</f>
        <v>112000</v>
      </c>
      <c r="N258" s="47">
        <f>M258-N223</f>
        <v>120844</v>
      </c>
      <c r="O258" s="47">
        <f>N258-O223</f>
        <v>130041.76</v>
      </c>
      <c r="P258" s="47">
        <f>O258-P223</f>
        <v>139607.43039999998</v>
      </c>
      <c r="Q258" s="47">
        <f>P258-Q223</f>
        <v>149555.72761599999</v>
      </c>
      <c r="R258" s="47">
        <f>Q258-R223</f>
        <v>159901.95672063998</v>
      </c>
      <c r="S258" s="47">
        <f>R258-S223</f>
        <v>170662.03498946558</v>
      </c>
      <c r="T258" s="1">
        <f>S258-T223</f>
        <v>181852.51638904421</v>
      </c>
      <c r="U258" s="1">
        <f>T258-U223</f>
        <v>193490.61704460598</v>
      </c>
      <c r="V258" s="1">
        <f>U258-V223</f>
        <v>205594.24172639023</v>
      </c>
      <c r="W258" s="1">
        <f>V258-W223</f>
        <v>218182.01139544585</v>
      </c>
    </row>
    <row r="259" spans="4:23" x14ac:dyDescent="0.2">
      <c r="E259" s="102" t="s">
        <v>88</v>
      </c>
      <c r="J259" s="29"/>
      <c r="K259" s="246">
        <f>Input!V94</f>
        <v>51000</v>
      </c>
      <c r="L259" s="47">
        <f>K259</f>
        <v>51000</v>
      </c>
      <c r="M259" s="47">
        <f>L259</f>
        <v>51000</v>
      </c>
      <c r="N259" s="47">
        <f>M259</f>
        <v>51000</v>
      </c>
      <c r="O259" s="47">
        <f>N259</f>
        <v>51000</v>
      </c>
      <c r="P259" s="47">
        <f>O259</f>
        <v>51000</v>
      </c>
      <c r="Q259" s="47">
        <f>P259</f>
        <v>51000</v>
      </c>
      <c r="R259" s="47">
        <f>Q259</f>
        <v>51000</v>
      </c>
      <c r="S259" s="47">
        <f>R259</f>
        <v>51000</v>
      </c>
      <c r="T259" s="1">
        <f>S259</f>
        <v>51000</v>
      </c>
      <c r="U259" s="1">
        <f>T259</f>
        <v>51000</v>
      </c>
      <c r="V259" s="1">
        <f>U259</f>
        <v>51000</v>
      </c>
      <c r="W259" s="1">
        <f>V259</f>
        <v>51000</v>
      </c>
    </row>
    <row r="260" spans="4:23" x14ac:dyDescent="0.2">
      <c r="E260" s="102" t="s">
        <v>441</v>
      </c>
      <c r="J260" s="29"/>
      <c r="K260" s="246">
        <f>Input!V95+Input!V96+Input!V97</f>
        <v>45200</v>
      </c>
      <c r="L260" s="47">
        <f>K260</f>
        <v>45200</v>
      </c>
      <c r="M260" s="47">
        <f>L260</f>
        <v>45200</v>
      </c>
      <c r="N260" s="47">
        <f>M260</f>
        <v>45200</v>
      </c>
      <c r="O260" s="47">
        <f>N260</f>
        <v>45200</v>
      </c>
      <c r="P260" s="47">
        <f>O260</f>
        <v>45200</v>
      </c>
      <c r="Q260" s="47">
        <f>P260</f>
        <v>45200</v>
      </c>
      <c r="R260" s="47">
        <f>Q260</f>
        <v>45200</v>
      </c>
      <c r="S260" s="47">
        <f>R260</f>
        <v>45200</v>
      </c>
      <c r="T260" s="1">
        <f>S260</f>
        <v>45200</v>
      </c>
      <c r="U260" s="1">
        <f>T260</f>
        <v>45200</v>
      </c>
      <c r="V260" s="1">
        <f>U260</f>
        <v>45200</v>
      </c>
      <c r="W260" s="1">
        <f>V260</f>
        <v>45200</v>
      </c>
    </row>
    <row r="261" spans="4:23" x14ac:dyDescent="0.2">
      <c r="E261" s="102" t="s">
        <v>92</v>
      </c>
      <c r="J261" s="29"/>
      <c r="K261" s="246">
        <f>Input!V98</f>
        <v>-260940</v>
      </c>
      <c r="L261" s="47">
        <f>K261+L223</f>
        <v>-265362</v>
      </c>
      <c r="M261" s="47">
        <f>L261</f>
        <v>-265362</v>
      </c>
      <c r="N261" s="47">
        <f>M261+N223</f>
        <v>-274206</v>
      </c>
      <c r="O261" s="47">
        <f>N261+O223</f>
        <v>-283403.76</v>
      </c>
      <c r="P261" s="47">
        <f>O261+P223</f>
        <v>-292969.43040000001</v>
      </c>
      <c r="Q261" s="47">
        <f>P261+Q223</f>
        <v>-302917.72761599999</v>
      </c>
      <c r="R261" s="47">
        <f>Q261+R223</f>
        <v>-313263.95672064001</v>
      </c>
      <c r="S261" s="47">
        <f>R261+S223</f>
        <v>-324024.03498946561</v>
      </c>
      <c r="T261" s="1">
        <f>S261+T223</f>
        <v>-335214.51638904423</v>
      </c>
      <c r="U261" s="1">
        <f>T261+U223</f>
        <v>-346852.61704460601</v>
      </c>
      <c r="V261" s="1">
        <f>U261+V223</f>
        <v>-358956.24172639026</v>
      </c>
      <c r="W261" s="1">
        <f>V261+W223</f>
        <v>-371544.01139544585</v>
      </c>
    </row>
    <row r="262" spans="4:23" ht="15.75" thickBot="1" x14ac:dyDescent="0.25">
      <c r="E262" s="103"/>
      <c r="J262" s="29"/>
      <c r="K262" s="47"/>
      <c r="L262" s="47"/>
      <c r="M262" s="47"/>
      <c r="N262" s="47"/>
      <c r="O262" s="47"/>
      <c r="P262" s="47"/>
      <c r="Q262" s="47"/>
      <c r="R262" s="47"/>
      <c r="S262" s="47"/>
    </row>
    <row r="263" spans="4:23" ht="15.75" thickBot="1" x14ac:dyDescent="0.25">
      <c r="D263" s="107" t="s">
        <v>93</v>
      </c>
      <c r="E263" s="107"/>
      <c r="F263" s="107"/>
      <c r="G263" s="107"/>
      <c r="H263" s="107"/>
      <c r="I263" s="107"/>
      <c r="J263" s="170"/>
      <c r="K263" s="108">
        <f>K265+K272+K276</f>
        <v>148926</v>
      </c>
      <c r="L263" s="108">
        <f>L265+L272+L276</f>
        <v>488196.43273521273</v>
      </c>
      <c r="M263" s="108">
        <f>M265+M272+M276</f>
        <v>488196.43273521273</v>
      </c>
      <c r="N263" s="108">
        <f>N265+N272+N276</f>
        <v>567700.08528390341</v>
      </c>
      <c r="O263" s="108">
        <f>O265+O272+O276</f>
        <v>711979.15184656368</v>
      </c>
      <c r="P263" s="108">
        <f>P265+P272+P276</f>
        <v>873024.83891025069</v>
      </c>
      <c r="Q263" s="108">
        <f>Q265+Q272+Q276</f>
        <v>1045680.7618115766</v>
      </c>
      <c r="R263" s="108">
        <f>R265+R272+R276</f>
        <v>1249388.5572040672</v>
      </c>
      <c r="S263" s="108">
        <f>S265+S272+S276</f>
        <v>1481917.1222048434</v>
      </c>
      <c r="T263" s="108">
        <f>T265+T272+T276</f>
        <v>1717618.9274621559</v>
      </c>
      <c r="U263" s="108">
        <f>U265+U272+U276</f>
        <v>1980217.8983281662</v>
      </c>
      <c r="V263" s="108">
        <f>V265+V272+V276</f>
        <v>2270302.3234504871</v>
      </c>
      <c r="W263" s="108">
        <f>W265+W272+W276</f>
        <v>2588707.934772877</v>
      </c>
    </row>
    <row r="264" spans="4:23" x14ac:dyDescent="0.2">
      <c r="D264" s="3"/>
      <c r="E264" s="103"/>
      <c r="J264" s="29"/>
      <c r="K264" s="47"/>
      <c r="L264" s="47"/>
      <c r="M264" s="47"/>
      <c r="N264" s="47"/>
      <c r="O264" s="47"/>
      <c r="P264" s="47"/>
      <c r="Q264" s="47"/>
      <c r="R264" s="47"/>
      <c r="S264" s="47"/>
    </row>
    <row r="265" spans="4:23" x14ac:dyDescent="0.2">
      <c r="D265" s="32" t="s">
        <v>94</v>
      </c>
      <c r="E265" s="106"/>
      <c r="F265" s="106"/>
      <c r="G265" s="106"/>
      <c r="H265" s="106"/>
      <c r="I265" s="106"/>
      <c r="J265" s="171"/>
      <c r="K265" s="244">
        <f>SUM(K267:K270)</f>
        <v>113065</v>
      </c>
      <c r="L265" s="122">
        <f>SUM(L267:L270)</f>
        <v>204297.61728491369</v>
      </c>
      <c r="M265" s="122">
        <f>SUM(M267:M270)</f>
        <v>204297.61728491369</v>
      </c>
      <c r="N265" s="122">
        <f>SUM(N267:N270)</f>
        <v>257595.89256762486</v>
      </c>
      <c r="O265" s="122">
        <f>SUM(O267:O270)</f>
        <v>330036.57211373124</v>
      </c>
      <c r="P265" s="122">
        <f>SUM(P267:P270)</f>
        <v>402478.49435711926</v>
      </c>
      <c r="Q265" s="122">
        <f>SUM(Q267:Q270)</f>
        <v>456235.55777195742</v>
      </c>
      <c r="R265" s="122">
        <f>SUM(R267:R270)</f>
        <v>509232.19552087574</v>
      </c>
      <c r="S265" s="122">
        <f>SUM(S267:S270)</f>
        <v>560576.63018198975</v>
      </c>
      <c r="T265" s="122">
        <f>SUM(T267:T270)</f>
        <v>611799.52677317942</v>
      </c>
      <c r="U265" s="122">
        <f>SUM(U267:U270)</f>
        <v>663396.99873951916</v>
      </c>
      <c r="V265" s="122">
        <f>SUM(V267:V270)</f>
        <v>715785.74152780173</v>
      </c>
      <c r="W265" s="122">
        <f>SUM(W267:W270)</f>
        <v>769400.8752126859</v>
      </c>
    </row>
    <row r="266" spans="4:23" x14ac:dyDescent="0.2">
      <c r="D266" s="3"/>
      <c r="E266" s="103"/>
      <c r="J266" s="29"/>
      <c r="K266" s="47"/>
      <c r="L266" s="47"/>
      <c r="M266" s="47"/>
      <c r="N266" s="47"/>
      <c r="O266" s="47"/>
      <c r="P266" s="47"/>
      <c r="Q266" s="47"/>
      <c r="R266" s="47"/>
      <c r="S266" s="47"/>
    </row>
    <row r="267" spans="4:23" x14ac:dyDescent="0.2">
      <c r="E267" s="102" t="s">
        <v>95</v>
      </c>
      <c r="J267" s="29"/>
      <c r="K267" s="246">
        <f>Input!V104</f>
        <v>77365</v>
      </c>
      <c r="L267" s="47">
        <f>-L208*L194/(365*L18)</f>
        <v>160688.60352284473</v>
      </c>
      <c r="M267" s="47">
        <f>L267</f>
        <v>160688.60352284473</v>
      </c>
      <c r="N267" s="47">
        <f>-N208*N194/(365*N18)</f>
        <v>208385.06728577745</v>
      </c>
      <c r="O267" s="47">
        <f>-O208*O194/(365*O18)</f>
        <v>275135.46895203699</v>
      </c>
      <c r="P267" s="47">
        <f>-P208*P194/(365*P18)</f>
        <v>325426.57768347772</v>
      </c>
      <c r="Q267" s="47">
        <f>-Q208*Q194/(365*Q18)</f>
        <v>373810.36850084556</v>
      </c>
      <c r="R267" s="47">
        <f>-R208*R194/(365*R18)</f>
        <v>421445.22476628161</v>
      </c>
      <c r="S267" s="47">
        <f>-S208*S194/(365*S18)</f>
        <v>467506.6775554195</v>
      </c>
      <c r="T267" s="47">
        <f>-T208*T194/(365*T18)</f>
        <v>513404.69174032164</v>
      </c>
      <c r="U267" s="47">
        <f>-U208*U194/(365*U18)</f>
        <v>559594.86473113799</v>
      </c>
      <c r="V267" s="47">
        <f>-V208*V194/(365*V18)</f>
        <v>606459.45716973301</v>
      </c>
      <c r="W267" s="47">
        <f>-W208*W194/(365*W18)</f>
        <v>654397.64170367247</v>
      </c>
    </row>
    <row r="268" spans="4:23" x14ac:dyDescent="0.2">
      <c r="E268" s="102" t="s">
        <v>442</v>
      </c>
      <c r="J268" s="29"/>
      <c r="K268" s="246">
        <f>Input!V105+Input!V106+Input!V107+Input!V108</f>
        <v>29211</v>
      </c>
      <c r="L268" s="47">
        <f>((L98+L99+L100)/L18)*($K$268/(($K$98+$K$99+$K$100)/$K$18))</f>
        <v>29211</v>
      </c>
      <c r="M268" s="47">
        <f>L268</f>
        <v>29211</v>
      </c>
      <c r="N268" s="47">
        <f>((N98+N99+N100)/N18)*($K$268/(($K$98+$K$99+$K$100)/$K$18))</f>
        <v>30539.114900322194</v>
      </c>
      <c r="O268" s="47">
        <f>((O98+O99+O100)/O18)*($K$268/(($K$98+$K$99+$K$100)/$K$18))</f>
        <v>31760.679496335099</v>
      </c>
      <c r="P268" s="47">
        <f>((P98+P99+P100)/P18)*($K$268/(($K$98+$K$99+$K$100)/$K$18))</f>
        <v>33015.064300833379</v>
      </c>
      <c r="Q268" s="47">
        <f>((Q98+Q99+Q100)/Q18)*($K$268/(($K$98+$K$99+$K$100)/$K$18))</f>
        <v>34318.990905529536</v>
      </c>
      <c r="R268" s="47">
        <f>((R98+R99+R100)/R18)*($K$268/(($K$98+$K$99+$K$100)/$K$18))</f>
        <v>35674.415958780635</v>
      </c>
      <c r="S268" s="47">
        <f>((S98+S99+S100)/S18)*($K$268/(($K$98+$K$99+$K$100)/$K$18))</f>
        <v>37083.373386571475</v>
      </c>
      <c r="T268" s="1">
        <f>((T98+T99+T100)/T18)*($K$268/(($K$98+$K$99+$K$100)/$K$18))</f>
        <v>38547.977444586635</v>
      </c>
      <c r="U268" s="1">
        <f>((U98+U99+U100)/U18)*($K$268/(($K$98+$K$99+$K$100)/$K$18))</f>
        <v>40070.425890823812</v>
      </c>
      <c r="V268" s="1">
        <f>((V98+V99+V100)/V18)*($K$268/(($K$98+$K$99+$K$100)/$K$18))</f>
        <v>41653.003283509133</v>
      </c>
      <c r="W268" s="1">
        <f>((W98+W99+W100)/W18)*($K$268/(($K$98+$K$99+$K$100)/$K$18))</f>
        <v>43298.084409263385</v>
      </c>
    </row>
    <row r="269" spans="4:23" x14ac:dyDescent="0.2">
      <c r="E269" s="102" t="s">
        <v>443</v>
      </c>
      <c r="J269" s="29"/>
      <c r="K269" s="246">
        <f>Input!V109+Input!V110</f>
        <v>6489</v>
      </c>
      <c r="L269" s="47">
        <f>(L200/L18)*($K$269/($K$200/$K$18))</f>
        <v>14398.013762068966</v>
      </c>
      <c r="M269" s="47">
        <f>L269</f>
        <v>14398.013762068966</v>
      </c>
      <c r="N269" s="47">
        <f>(N200/N18)*($K$269/($K$200/$K$18))</f>
        <v>18671.71038152523</v>
      </c>
      <c r="O269" s="47">
        <f>(O200/O18)*($K$269/($K$200/$K$18))</f>
        <v>23140.423665359129</v>
      </c>
      <c r="P269" s="47">
        <f>(P200/P18)*($K$269/($K$200/$K$18))</f>
        <v>27370.185706141488</v>
      </c>
      <c r="Q269" s="47">
        <f>(Q200/Q18)*($K$269/($K$200/$K$18))</f>
        <v>31439.531698915631</v>
      </c>
      <c r="R269" s="47">
        <f>(R200/R18)*($K$269/($K$200/$K$18))</f>
        <v>35445.88812914685</v>
      </c>
      <c r="S269" s="47">
        <f>(S200/S18)*($K$269/($K$200/$K$18))</f>
        <v>39319.912573332193</v>
      </c>
      <c r="T269" s="1">
        <f>(T200/T18)*($K$269/($K$200/$K$18))</f>
        <v>43180.19092160451</v>
      </c>
      <c r="U269" s="1">
        <f>(U200/U18)*($K$269/($K$200/$K$18))</f>
        <v>47065.041450890683</v>
      </c>
      <c r="V269" s="1">
        <f>(V200/V18)*($K$269/($K$200/$K$18))</f>
        <v>51006.614407892899</v>
      </c>
      <c r="W269" s="1">
        <f>(W200/W18)*($K$269/($K$200/$K$18))</f>
        <v>55038.482433083445</v>
      </c>
    </row>
    <row r="270" spans="4:23" x14ac:dyDescent="0.2">
      <c r="E270" s="102" t="s">
        <v>432</v>
      </c>
      <c r="J270" s="29"/>
      <c r="K270" s="247">
        <v>0</v>
      </c>
      <c r="L270" s="47">
        <f>N177</f>
        <v>0</v>
      </c>
      <c r="M270" s="47">
        <f>L270</f>
        <v>0</v>
      </c>
      <c r="N270" s="47">
        <f>O177</f>
        <v>0</v>
      </c>
      <c r="O270" s="47">
        <f>P177</f>
        <v>0</v>
      </c>
      <c r="P270" s="47">
        <f>Q177</f>
        <v>16666.666666666668</v>
      </c>
      <c r="Q270" s="47">
        <f>R177</f>
        <v>16666.666666666668</v>
      </c>
      <c r="R270" s="47">
        <f>S177</f>
        <v>16666.666666666668</v>
      </c>
      <c r="S270" s="47">
        <f>T177</f>
        <v>16666.666666666668</v>
      </c>
      <c r="T270" s="1">
        <f>U177</f>
        <v>16666.666666666668</v>
      </c>
      <c r="U270" s="1">
        <f>V177</f>
        <v>16666.666666666668</v>
      </c>
      <c r="V270" s="1">
        <f>W177</f>
        <v>16666.666666666668</v>
      </c>
      <c r="W270" s="1">
        <f>W177</f>
        <v>16666.666666666668</v>
      </c>
    </row>
    <row r="271" spans="4:23" x14ac:dyDescent="0.2">
      <c r="E271" s="103"/>
      <c r="J271" s="29"/>
      <c r="K271" s="47"/>
      <c r="L271" s="47"/>
      <c r="M271" s="47"/>
      <c r="N271" s="47"/>
      <c r="O271" s="47"/>
      <c r="P271" s="47"/>
      <c r="Q271" s="47"/>
      <c r="R271" s="47"/>
      <c r="S271" s="47"/>
    </row>
    <row r="272" spans="4:23" x14ac:dyDescent="0.2">
      <c r="D272" s="32" t="s">
        <v>102</v>
      </c>
      <c r="E272" s="105"/>
      <c r="F272" s="105"/>
      <c r="G272" s="105"/>
      <c r="H272" s="105"/>
      <c r="I272" s="105"/>
      <c r="J272" s="156"/>
      <c r="K272" s="123">
        <f>K274</f>
        <v>0</v>
      </c>
      <c r="L272" s="123">
        <f>L274</f>
        <v>250000</v>
      </c>
      <c r="M272" s="123">
        <f>M274</f>
        <v>250000</v>
      </c>
      <c r="N272" s="123">
        <f>N274</f>
        <v>250000</v>
      </c>
      <c r="O272" s="123">
        <f>O274</f>
        <v>250000</v>
      </c>
      <c r="P272" s="123">
        <f>P274</f>
        <v>233333.33333333334</v>
      </c>
      <c r="Q272" s="123">
        <f>Q274</f>
        <v>216666.66666666669</v>
      </c>
      <c r="R272" s="123">
        <f>R274</f>
        <v>200000.00000000003</v>
      </c>
      <c r="S272" s="123">
        <f>S274</f>
        <v>183333.33333333337</v>
      </c>
      <c r="T272" s="123">
        <f>T274</f>
        <v>166666.66666666672</v>
      </c>
      <c r="U272" s="123">
        <f>U274</f>
        <v>150000.00000000006</v>
      </c>
      <c r="V272" s="123">
        <f>V274</f>
        <v>133333.3333333334</v>
      </c>
      <c r="W272" s="123">
        <f>W274</f>
        <v>116666.66666666673</v>
      </c>
    </row>
    <row r="273" spans="2:24" x14ac:dyDescent="0.2">
      <c r="E273" s="103"/>
      <c r="J273" s="29"/>
      <c r="K273" s="47"/>
      <c r="L273" s="47"/>
      <c r="M273" s="47"/>
      <c r="N273" s="47"/>
      <c r="O273" s="47"/>
      <c r="P273" s="47"/>
      <c r="Q273" s="47"/>
      <c r="R273" s="47"/>
      <c r="S273" s="47"/>
    </row>
    <row r="274" spans="2:24" x14ac:dyDescent="0.2">
      <c r="E274" s="102" t="s">
        <v>433</v>
      </c>
      <c r="J274" s="29"/>
      <c r="K274" s="246">
        <f>Input!V114</f>
        <v>0</v>
      </c>
      <c r="L274" s="47">
        <f>L179-L270</f>
        <v>250000</v>
      </c>
      <c r="M274" s="47">
        <f>L274</f>
        <v>250000</v>
      </c>
      <c r="N274" s="47">
        <f>N179-N270</f>
        <v>250000</v>
      </c>
      <c r="O274" s="47">
        <f>O179-O270</f>
        <v>250000</v>
      </c>
      <c r="P274" s="47">
        <f>P179-P270</f>
        <v>233333.33333333334</v>
      </c>
      <c r="Q274" s="47">
        <f>Q179-Q270</f>
        <v>216666.66666666669</v>
      </c>
      <c r="R274" s="47">
        <f>R179-R270</f>
        <v>200000.00000000003</v>
      </c>
      <c r="S274" s="47">
        <f>S179-S270</f>
        <v>183333.33333333337</v>
      </c>
      <c r="T274" s="1">
        <f>T179-T270</f>
        <v>166666.66666666672</v>
      </c>
      <c r="U274" s="1">
        <f>U179-U270</f>
        <v>150000.00000000006</v>
      </c>
      <c r="V274" s="1">
        <f>V179-V270</f>
        <v>133333.3333333334</v>
      </c>
      <c r="W274" s="1">
        <f>W179-W270</f>
        <v>116666.66666666673</v>
      </c>
    </row>
    <row r="275" spans="2:24" x14ac:dyDescent="0.2">
      <c r="E275" s="103"/>
      <c r="J275" s="29"/>
      <c r="K275" s="47"/>
      <c r="L275" s="47"/>
      <c r="M275" s="47"/>
      <c r="N275" s="47"/>
      <c r="O275" s="47"/>
      <c r="P275" s="47"/>
      <c r="Q275" s="47"/>
      <c r="R275" s="47"/>
      <c r="S275" s="47"/>
    </row>
    <row r="276" spans="2:24" x14ac:dyDescent="0.2">
      <c r="D276" s="32" t="s">
        <v>104</v>
      </c>
      <c r="E276" s="105"/>
      <c r="F276" s="105"/>
      <c r="G276" s="105"/>
      <c r="H276" s="105"/>
      <c r="I276" s="105"/>
      <c r="J276" s="156"/>
      <c r="K276" s="123">
        <f>K278+K279+K280</f>
        <v>35861</v>
      </c>
      <c r="L276" s="123">
        <f>L278+L279+L280</f>
        <v>33898.815450299066</v>
      </c>
      <c r="M276" s="123">
        <f>M278+M279+M280</f>
        <v>33898.815450299066</v>
      </c>
      <c r="N276" s="123">
        <f>N278+N279+N280</f>
        <v>60104.192716278572</v>
      </c>
      <c r="O276" s="123">
        <f>O278+O279+O280</f>
        <v>131942.57973283247</v>
      </c>
      <c r="P276" s="123">
        <f>P278+P279+P280</f>
        <v>237213.01121979809</v>
      </c>
      <c r="Q276" s="123">
        <f>Q278+Q279+Q280</f>
        <v>372778.53737295244</v>
      </c>
      <c r="R276" s="123">
        <f>R278+R279+R280</f>
        <v>540156.36168319138</v>
      </c>
      <c r="S276" s="123">
        <f>S278+S279+S280</f>
        <v>738007.15868952044</v>
      </c>
      <c r="T276" s="123">
        <f>T278+T279+T280</f>
        <v>939152.73402230977</v>
      </c>
      <c r="U276" s="123">
        <f>U278+U279+U280</f>
        <v>1166820.8995886471</v>
      </c>
      <c r="V276" s="123">
        <f>V278+V279+V280</f>
        <v>1421183.2485893522</v>
      </c>
      <c r="W276" s="123">
        <f>W278+W279+W280</f>
        <v>1702640.3928935244</v>
      </c>
    </row>
    <row r="277" spans="2:24" x14ac:dyDescent="0.2">
      <c r="E277" s="103"/>
      <c r="J277" s="29"/>
      <c r="K277" s="47"/>
      <c r="L277" s="47"/>
      <c r="M277" s="47"/>
      <c r="N277" s="47"/>
      <c r="O277" s="47"/>
      <c r="P277" s="47"/>
      <c r="Q277" s="47"/>
      <c r="R277" s="47"/>
      <c r="S277" s="47"/>
    </row>
    <row r="278" spans="2:24" x14ac:dyDescent="0.2">
      <c r="E278" s="102" t="s">
        <v>105</v>
      </c>
      <c r="J278" s="29"/>
      <c r="K278" s="246">
        <f>Input!V118</f>
        <v>50000</v>
      </c>
      <c r="L278" s="47">
        <f>K278</f>
        <v>50000</v>
      </c>
      <c r="M278" s="47">
        <f>L278</f>
        <v>50000</v>
      </c>
      <c r="N278" s="47">
        <f>M278</f>
        <v>50000</v>
      </c>
      <c r="O278" s="47">
        <f>N278</f>
        <v>50000</v>
      </c>
      <c r="P278" s="47">
        <f>O278</f>
        <v>50000</v>
      </c>
      <c r="Q278" s="47">
        <f>P278</f>
        <v>50000</v>
      </c>
      <c r="R278" s="47">
        <f>Q278</f>
        <v>50000</v>
      </c>
      <c r="S278" s="47">
        <f>R278</f>
        <v>50000</v>
      </c>
      <c r="T278" s="1">
        <f>S278</f>
        <v>50000</v>
      </c>
      <c r="U278" s="1">
        <f>T278</f>
        <v>50000</v>
      </c>
      <c r="V278" s="1">
        <f>U278</f>
        <v>50000</v>
      </c>
      <c r="W278" s="1">
        <f>V278</f>
        <v>50000</v>
      </c>
    </row>
    <row r="279" spans="2:24" x14ac:dyDescent="0.2">
      <c r="E279" s="102" t="s">
        <v>106</v>
      </c>
      <c r="J279" s="29"/>
      <c r="K279" s="246">
        <f>Input!V119+Input!V120</f>
        <v>11824</v>
      </c>
      <c r="L279" s="47">
        <f>K279+K280</f>
        <v>-14139</v>
      </c>
      <c r="M279" s="47">
        <f>L279</f>
        <v>-14139</v>
      </c>
      <c r="N279" s="47">
        <f>M279+M280</f>
        <v>-16101.184549700931</v>
      </c>
      <c r="O279" s="47">
        <f>N279+N280</f>
        <v>10104.19271627858</v>
      </c>
      <c r="P279" s="47">
        <f>O279+O280</f>
        <v>81942.57973283247</v>
      </c>
      <c r="Q279" s="47">
        <f>P279+P280</f>
        <v>187213.01121979809</v>
      </c>
      <c r="R279" s="47">
        <f>Q279+Q280</f>
        <v>322778.53737295244</v>
      </c>
      <c r="S279" s="47">
        <f>R279+R280</f>
        <v>490156.36168319138</v>
      </c>
      <c r="T279" s="1">
        <f>S279+S280</f>
        <v>688007.15868952044</v>
      </c>
      <c r="U279" s="1">
        <f>T279+T280</f>
        <v>889152.73402230977</v>
      </c>
      <c r="V279" s="1">
        <f>U279+U280</f>
        <v>1116820.8995886471</v>
      </c>
      <c r="W279" s="1">
        <f>V279+V280</f>
        <v>1371183.2485893522</v>
      </c>
    </row>
    <row r="280" spans="2:24" x14ac:dyDescent="0.2">
      <c r="E280" s="1" t="s">
        <v>108</v>
      </c>
      <c r="J280" s="29"/>
      <c r="K280" s="246">
        <f>Input!V121</f>
        <v>-25963</v>
      </c>
      <c r="L280" s="47">
        <f>L239</f>
        <v>-1962.1845497009308</v>
      </c>
      <c r="M280" s="47">
        <f>L280</f>
        <v>-1962.1845497009308</v>
      </c>
      <c r="N280" s="47">
        <f>N239</f>
        <v>26205.37726597951</v>
      </c>
      <c r="O280" s="47">
        <f>O239</f>
        <v>71838.387016553897</v>
      </c>
      <c r="P280" s="47">
        <f>P239</f>
        <v>105270.43148696562</v>
      </c>
      <c r="Q280" s="47">
        <f>Q239</f>
        <v>135565.52615315438</v>
      </c>
      <c r="R280" s="47">
        <f>R239</f>
        <v>167377.82431023897</v>
      </c>
      <c r="S280" s="47">
        <f>S239</f>
        <v>197850.79700632906</v>
      </c>
      <c r="T280" s="1">
        <f>T239</f>
        <v>201145.57533278933</v>
      </c>
      <c r="U280" s="1">
        <f>U239</f>
        <v>227668.16556633729</v>
      </c>
      <c r="V280" s="1">
        <f>V239</f>
        <v>254362.34900070529</v>
      </c>
      <c r="W280" s="1">
        <f>W239</f>
        <v>281457.14430417208</v>
      </c>
    </row>
    <row r="281" spans="2:24" s="219" customFormat="1" x14ac:dyDescent="0.2">
      <c r="D281" s="219" t="s">
        <v>109</v>
      </c>
      <c r="J281" s="220"/>
      <c r="K281" s="221" t="str">
        <f>IF(AND(K246&lt;&gt;0,ABS(K246-K263)&lt;1),"ok","errado")</f>
        <v>ok</v>
      </c>
      <c r="L281" s="221" t="str">
        <f>IF(AND(L246&lt;&gt;0,ABS(L246-L263)&lt;1),"ok","errado")</f>
        <v>ok</v>
      </c>
      <c r="M281" s="221" t="str">
        <f>IF(AND(M246&lt;&gt;0,ABS(M246-M263)&lt;1),"ok","errado")</f>
        <v>ok</v>
      </c>
      <c r="N281" s="221" t="str">
        <f>IF(AND(N246&lt;&gt;0,ABS(N246-N263)&lt;1),"ok","errado")</f>
        <v>ok</v>
      </c>
      <c r="O281" s="221" t="str">
        <f>IF(AND(O246&lt;&gt;0,ABS(O246-O263)&lt;1),"ok","errado")</f>
        <v>ok</v>
      </c>
      <c r="P281" s="221" t="str">
        <f>IF(AND(P246&lt;&gt;0,ABS(P246-P263)&lt;1),"ok","errado")</f>
        <v>ok</v>
      </c>
      <c r="Q281" s="221" t="str">
        <f>IF(AND(Q246&lt;&gt;0,ABS(Q246-Q263)&lt;1),"ok","errado")</f>
        <v>ok</v>
      </c>
      <c r="R281" s="221" t="str">
        <f>IF(AND(R246&lt;&gt;0,ABS(R246-R263)&lt;1),"ok","errado")</f>
        <v>ok</v>
      </c>
      <c r="S281" s="221" t="str">
        <f>IF(AND(S246&lt;&gt;0,ABS(S246-S263)&lt;1),"ok","errado")</f>
        <v>ok</v>
      </c>
      <c r="T281" s="221" t="str">
        <f>IF(AND(T246&lt;&gt;0,ABS(T246-T263)&lt;1),"ok","errado")</f>
        <v>ok</v>
      </c>
      <c r="U281" s="221" t="str">
        <f>IF(AND(U246&lt;&gt;0,ABS(U246-U263)&lt;1),"ok","errado")</f>
        <v>ok</v>
      </c>
      <c r="V281" s="221" t="str">
        <f>IF(AND(V246&lt;&gt;0,ABS(V246-V263)&lt;1),"ok","errado")</f>
        <v>ok</v>
      </c>
      <c r="W281" s="221" t="str">
        <f>IF(AND(W246&lt;&gt;0,ABS(W246-W263)&lt;1),"ok","errado")</f>
        <v>ok</v>
      </c>
    </row>
    <row r="282" spans="2:24" x14ac:dyDescent="0.2">
      <c r="D282" s="245" t="s">
        <v>435</v>
      </c>
      <c r="K282" s="47">
        <f>K246-K263</f>
        <v>0</v>
      </c>
      <c r="L282" s="47">
        <f>L246-L263</f>
        <v>0</v>
      </c>
      <c r="M282" s="47">
        <f>M246-M263</f>
        <v>0</v>
      </c>
      <c r="N282" s="47">
        <f>N246-N263</f>
        <v>0</v>
      </c>
      <c r="O282" s="47">
        <f>O246-O263</f>
        <v>0</v>
      </c>
      <c r="P282" s="47">
        <f>P246-P263</f>
        <v>0</v>
      </c>
      <c r="Q282" s="47">
        <f>Q246-Q263</f>
        <v>0</v>
      </c>
      <c r="R282" s="47">
        <f>R246-R263</f>
        <v>0</v>
      </c>
      <c r="S282" s="47">
        <f>S246-S263</f>
        <v>0</v>
      </c>
      <c r="T282" s="47">
        <f>T246-T263</f>
        <v>0</v>
      </c>
      <c r="U282" s="47">
        <f>U246-U263</f>
        <v>0</v>
      </c>
      <c r="V282" s="47">
        <f>V246-V263</f>
        <v>0</v>
      </c>
      <c r="W282" s="47">
        <f>W246-W263</f>
        <v>0</v>
      </c>
    </row>
    <row r="283" spans="2:24" x14ac:dyDescent="0.2">
      <c r="K283" s="47"/>
      <c r="L283" s="47"/>
      <c r="M283" s="47"/>
      <c r="N283" s="47"/>
      <c r="O283" s="47"/>
      <c r="P283" s="47"/>
      <c r="Q283" s="47"/>
      <c r="R283" s="47"/>
      <c r="S283" s="47"/>
    </row>
    <row r="284" spans="2:24" x14ac:dyDescent="0.2">
      <c r="B284" s="10"/>
      <c r="C284" s="13" t="s">
        <v>142</v>
      </c>
      <c r="D284" s="13"/>
      <c r="E284" s="11"/>
      <c r="F284" s="11"/>
      <c r="G284" s="11"/>
      <c r="H284" s="11"/>
      <c r="I284" s="11"/>
      <c r="J284" s="39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47"/>
    </row>
    <row r="285" spans="2:24" x14ac:dyDescent="0.2">
      <c r="K285" s="47"/>
      <c r="L285" s="47"/>
      <c r="M285" s="47"/>
      <c r="N285" s="47"/>
      <c r="O285" s="47"/>
      <c r="P285" s="47"/>
      <c r="Q285" s="47"/>
      <c r="R285" s="47"/>
      <c r="S285" s="47"/>
    </row>
    <row r="286" spans="2:24" x14ac:dyDescent="0.2">
      <c r="D286" s="17" t="s">
        <v>143</v>
      </c>
      <c r="E286" s="20"/>
      <c r="F286" s="20"/>
      <c r="G286" s="20"/>
      <c r="H286" s="20"/>
      <c r="I286" s="36"/>
      <c r="J286" s="41"/>
      <c r="K286" s="48"/>
      <c r="L286" s="48">
        <f t="shared" ref="L286:W286" si="55">L288+L289+L291</f>
        <v>11736.423679070609</v>
      </c>
      <c r="M286" s="48">
        <f t="shared" si="55"/>
        <v>2459.8154502990692</v>
      </c>
      <c r="N286" s="48">
        <f t="shared" si="55"/>
        <v>49546.036060203151</v>
      </c>
      <c r="O286" s="48">
        <f>O288+O289+O291</f>
        <v>109430.741340006</v>
      </c>
      <c r="P286" s="48">
        <f>P288+P289+P291</f>
        <v>131573.65146798274</v>
      </c>
      <c r="Q286" s="48">
        <f>Q288+Q289+Q291</f>
        <v>161713.70722423401</v>
      </c>
      <c r="R286" s="48">
        <f>R288+R289+R291</f>
        <v>193744.86062548246</v>
      </c>
      <c r="S286" s="48">
        <f>S288+S289+S291</f>
        <v>224200.80984521721</v>
      </c>
      <c r="T286" s="48">
        <f>T288+T289+T291</f>
        <v>227931.31995589807</v>
      </c>
      <c r="U286" s="48">
        <f>U288+U289+U291</f>
        <v>255049.32100417465</v>
      </c>
      <c r="V286" s="48">
        <f>V288+V289+V291</f>
        <v>282476.79147818533</v>
      </c>
      <c r="W286" s="48">
        <f>W288+W289+W291</f>
        <v>310448.76317844028</v>
      </c>
    </row>
    <row r="287" spans="2:24" x14ac:dyDescent="0.2">
      <c r="D287" s="19"/>
      <c r="I287" s="26"/>
      <c r="K287" s="47"/>
      <c r="L287" s="47"/>
      <c r="M287" s="47"/>
      <c r="N287" s="47"/>
      <c r="O287" s="47"/>
      <c r="P287" s="47"/>
      <c r="Q287" s="47"/>
      <c r="R287" s="47"/>
      <c r="S287" s="47"/>
    </row>
    <row r="288" spans="2:24" x14ac:dyDescent="0.2">
      <c r="D288" s="19" t="s">
        <v>144</v>
      </c>
      <c r="I288" s="26"/>
      <c r="K288" s="47"/>
      <c r="L288" s="47">
        <f>L239</f>
        <v>-1962.1845497009308</v>
      </c>
      <c r="M288" s="47">
        <f>L288</f>
        <v>-1962.1845497009308</v>
      </c>
      <c r="N288" s="47">
        <f t="shared" ref="M288:W288" si="56">N239</f>
        <v>26205.37726597951</v>
      </c>
      <c r="O288" s="47">
        <f>O239</f>
        <v>71838.387016553897</v>
      </c>
      <c r="P288" s="47">
        <f>P239</f>
        <v>105270.43148696562</v>
      </c>
      <c r="Q288" s="47">
        <f>Q239</f>
        <v>135565.52615315438</v>
      </c>
      <c r="R288" s="47">
        <f>R239</f>
        <v>167377.82431023897</v>
      </c>
      <c r="S288" s="47">
        <f>S239</f>
        <v>197850.79700632906</v>
      </c>
      <c r="T288" s="47">
        <f>T239</f>
        <v>201145.57533278933</v>
      </c>
      <c r="U288" s="47">
        <f>U239</f>
        <v>227668.16556633729</v>
      </c>
      <c r="V288" s="47">
        <f>V239</f>
        <v>254362.34900070529</v>
      </c>
      <c r="W288" s="47">
        <f>W239</f>
        <v>281457.14430417208</v>
      </c>
    </row>
    <row r="289" spans="4:23" x14ac:dyDescent="0.2">
      <c r="D289" s="19" t="s">
        <v>145</v>
      </c>
      <c r="I289" s="26"/>
      <c r="K289" s="47"/>
      <c r="L289" s="47">
        <f>-L223</f>
        <v>4422</v>
      </c>
      <c r="M289" s="47">
        <f>L289</f>
        <v>4422</v>
      </c>
      <c r="N289" s="47">
        <f t="shared" ref="M289:W289" si="57">-N223</f>
        <v>8844</v>
      </c>
      <c r="O289" s="47">
        <f>-O223</f>
        <v>9197.76</v>
      </c>
      <c r="P289" s="47">
        <f>-P223</f>
        <v>9565.6704000000009</v>
      </c>
      <c r="Q289" s="47">
        <f>-Q223</f>
        <v>9948.2972160000008</v>
      </c>
      <c r="R289" s="47">
        <f>-R223</f>
        <v>10346.229104640001</v>
      </c>
      <c r="S289" s="47">
        <f>-S223</f>
        <v>10760.0782688256</v>
      </c>
      <c r="T289" s="47">
        <f>-T223</f>
        <v>11190.481399578624</v>
      </c>
      <c r="U289" s="47">
        <f>-U223</f>
        <v>11638.10065556177</v>
      </c>
      <c r="V289" s="47">
        <f>-V223</f>
        <v>12103.62468178424</v>
      </c>
      <c r="W289" s="47">
        <f>-W223</f>
        <v>12587.769669055609</v>
      </c>
    </row>
    <row r="290" spans="4:23" x14ac:dyDescent="0.2">
      <c r="D290" s="19"/>
      <c r="I290" s="26"/>
      <c r="K290" s="47"/>
      <c r="L290" s="47"/>
      <c r="M290" s="47"/>
      <c r="N290" s="47"/>
      <c r="O290" s="47"/>
      <c r="P290" s="47"/>
      <c r="Q290" s="47"/>
      <c r="R290" s="47"/>
      <c r="S290" s="47"/>
    </row>
    <row r="291" spans="4:23" x14ac:dyDescent="0.2">
      <c r="D291" s="33" t="s">
        <v>146</v>
      </c>
      <c r="I291" s="26"/>
      <c r="K291" s="47"/>
      <c r="L291" s="47">
        <f t="shared" ref="L291:W291" si="58">L292+L293+L294</f>
        <v>9276.6082287715399</v>
      </c>
      <c r="M291" s="47"/>
      <c r="N291" s="47">
        <f t="shared" si="58"/>
        <v>14496.658794223644</v>
      </c>
      <c r="O291" s="47">
        <f>O292+O293+O294</f>
        <v>28394.594323452104</v>
      </c>
      <c r="P291" s="47">
        <f>P292+P293+P294</f>
        <v>16737.549581017105</v>
      </c>
      <c r="Q291" s="47">
        <f>Q292+Q293+Q294</f>
        <v>16199.883855079621</v>
      </c>
      <c r="R291" s="47">
        <f>R292+R293+R294</f>
        <v>16020.807210603482</v>
      </c>
      <c r="S291" s="47">
        <f>S292+S293+S294</f>
        <v>15589.934570062571</v>
      </c>
      <c r="T291" s="47">
        <f>T292+T293+T294</f>
        <v>15595.263223530113</v>
      </c>
      <c r="U291" s="47">
        <f>U292+U293+U294</f>
        <v>15743.054782275576</v>
      </c>
      <c r="V291" s="47">
        <f>V292+V293+V294</f>
        <v>16010.817795695824</v>
      </c>
      <c r="W291" s="47">
        <f>W292+W293+W294</f>
        <v>16403.849205212624</v>
      </c>
    </row>
    <row r="292" spans="4:23" x14ac:dyDescent="0.2">
      <c r="D292" s="19" t="s">
        <v>147</v>
      </c>
      <c r="I292" s="26"/>
      <c r="K292" s="47"/>
      <c r="L292" s="47">
        <f>-((L251+L252)-(K251+K252))</f>
        <v>-64805.552615920111</v>
      </c>
      <c r="M292" s="47">
        <f>L292</f>
        <v>-64805.552615920111</v>
      </c>
      <c r="N292" s="47">
        <f>-((N251+N252)-(M251+M252))</f>
        <v>-28984.276748799806</v>
      </c>
      <c r="O292" s="47">
        <f>-((O251+O252)-(N251+N252))</f>
        <v>-30306.882790889038</v>
      </c>
      <c r="P292" s="47">
        <f>-((P251+P252)-(O251+O252))</f>
        <v>-28686.311754904629</v>
      </c>
      <c r="Q292" s="47">
        <f>-((Q251+Q252)-(P251+P252))</f>
        <v>-27598.367629612272</v>
      </c>
      <c r="R292" s="47">
        <f>-((R251+R252)-(Q251+Q252))</f>
        <v>-27171.171439616417</v>
      </c>
      <c r="S292" s="47">
        <f>-((S251+S252)-(R251+R252))</f>
        <v>-26273.693858074927</v>
      </c>
      <c r="T292" s="1">
        <f>-((T251+T252)-(S251+S252))</f>
        <v>-26180.467622420983</v>
      </c>
      <c r="U292" s="1">
        <f>-((U251+U252)-(T251+T252))</f>
        <v>-26347.1165351175</v>
      </c>
      <c r="V292" s="1">
        <f>-((V251+V252)-(U251+U252))</f>
        <v>-26731.808919528034</v>
      </c>
      <c r="W292" s="1">
        <f>-((W251+W252)-(V251+V252))</f>
        <v>-27344.191472259292</v>
      </c>
    </row>
    <row r="293" spans="4:23" x14ac:dyDescent="0.2">
      <c r="D293" s="19" t="s">
        <v>148</v>
      </c>
      <c r="I293" s="26"/>
      <c r="K293" s="47"/>
      <c r="L293" s="47">
        <f>-(L253-K253)</f>
        <v>-17150.456440222049</v>
      </c>
      <c r="M293" s="47">
        <f>L293</f>
        <v>-17150.456440222049</v>
      </c>
      <c r="N293" s="47">
        <f>-(N253-M253)</f>
        <v>-9817.339739687719</v>
      </c>
      <c r="O293" s="47">
        <f>-(O253-N253)</f>
        <v>-13739.202431765232</v>
      </c>
      <c r="P293" s="47">
        <f>-(P253-O253)</f>
        <v>-10351.3942407996</v>
      </c>
      <c r="Q293" s="47">
        <f>-(Q253-P253)</f>
        <v>-9958.8119301462721</v>
      </c>
      <c r="R293" s="47">
        <f>-(R253-Q253)</f>
        <v>-9804.6590986984229</v>
      </c>
      <c r="S293" s="47">
        <f>-(S253-R253)</f>
        <v>-9480.8062329765671</v>
      </c>
      <c r="T293" s="1">
        <f>-(T253-S253)</f>
        <v>-9447.1657452385698</v>
      </c>
      <c r="U293" s="1">
        <f>-(U253-T253)</f>
        <v>-9507.3006489466643</v>
      </c>
      <c r="V293" s="1">
        <f>-(V253-U253)</f>
        <v>-9646.1160730587144</v>
      </c>
      <c r="W293" s="1">
        <f>-(W253-V253)</f>
        <v>-9867.0930074122589</v>
      </c>
    </row>
    <row r="294" spans="4:23" x14ac:dyDescent="0.2">
      <c r="D294" s="19" t="s">
        <v>149</v>
      </c>
      <c r="I294" s="26"/>
      <c r="K294" s="47"/>
      <c r="L294" s="47">
        <f>(L267+L268+L269)-(K267+K268+K269)</f>
        <v>91232.617284913693</v>
      </c>
      <c r="M294" s="47">
        <f>L294</f>
        <v>91232.617284913693</v>
      </c>
      <c r="N294" s="47">
        <f>(N267+N268+N269)-(M267+M268+M269)</f>
        <v>53298.275282711169</v>
      </c>
      <c r="O294" s="47">
        <f>(O267+O268+O269)-(N267+N268+N269)</f>
        <v>72440.679546106374</v>
      </c>
      <c r="P294" s="47">
        <f>(P267+P268+P269)-(O267+O268+O269)</f>
        <v>55775.255576721334</v>
      </c>
      <c r="Q294" s="47">
        <f>(Q267+Q268+Q269)-(P267+P268+P269)</f>
        <v>53757.063414838165</v>
      </c>
      <c r="R294" s="47">
        <f>(R267+R268+R269)-(Q267+Q268+Q269)</f>
        <v>52996.637748918321</v>
      </c>
      <c r="S294" s="47">
        <f>(S267+S268+S269)-(R267+R268+R269)</f>
        <v>51344.434661114065</v>
      </c>
      <c r="T294" s="1">
        <f>(T267+T268+T269)-(S267+S268+S269)</f>
        <v>51222.896591189667</v>
      </c>
      <c r="U294" s="1">
        <f>(U267+U268+U269)-(T267+T268+T269)</f>
        <v>51597.471966339741</v>
      </c>
      <c r="V294" s="1">
        <f>(V267+V268+V269)-(U267+U268+U269)</f>
        <v>52388.742788282572</v>
      </c>
      <c r="W294" s="1">
        <f>(W267+W268+W269)-(V267+V268+V269)</f>
        <v>53615.133684884175</v>
      </c>
    </row>
    <row r="295" spans="4:23" x14ac:dyDescent="0.2">
      <c r="D295" s="19"/>
      <c r="I295" s="26"/>
      <c r="K295" s="47"/>
      <c r="L295" s="47"/>
      <c r="M295" s="47"/>
      <c r="N295" s="47"/>
      <c r="O295" s="47"/>
      <c r="P295" s="47"/>
      <c r="Q295" s="47"/>
      <c r="R295" s="47"/>
      <c r="S295" s="47"/>
    </row>
    <row r="296" spans="4:23" x14ac:dyDescent="0.2">
      <c r="D296" s="17" t="s">
        <v>150</v>
      </c>
      <c r="E296" s="20"/>
      <c r="F296" s="20"/>
      <c r="G296" s="20"/>
      <c r="H296" s="20"/>
      <c r="I296" s="36"/>
      <c r="J296" s="41"/>
      <c r="K296" s="48"/>
      <c r="L296" s="48">
        <f>SUM(L298:L300)</f>
        <v>-221100</v>
      </c>
      <c r="M296" s="48">
        <f>L296</f>
        <v>-221100</v>
      </c>
      <c r="N296" s="48">
        <f>SUM(N298:N300)</f>
        <v>-8844</v>
      </c>
      <c r="O296" s="48">
        <f>SUM(O298:O300)</f>
        <v>-9197.76</v>
      </c>
      <c r="P296" s="48">
        <f>SUM(P298:P300)</f>
        <v>-9565.6704000000009</v>
      </c>
      <c r="Q296" s="48">
        <f>SUM(Q298:Q300)</f>
        <v>-9948.2972160000008</v>
      </c>
      <c r="R296" s="48">
        <f>SUM(R298:R300)</f>
        <v>-10346.229104640001</v>
      </c>
      <c r="S296" s="48">
        <f>SUM(S298:S300)</f>
        <v>-10760.0782688256</v>
      </c>
      <c r="T296" s="48">
        <f>SUM(T298:T300)</f>
        <v>-11190.481399578624</v>
      </c>
      <c r="U296" s="48">
        <f>SUM(U298:U300)</f>
        <v>-11638.10065556177</v>
      </c>
      <c r="V296" s="48">
        <f>SUM(V298:V300)</f>
        <v>-12103.62468178424</v>
      </c>
      <c r="W296" s="48">
        <f>SUM(W298:W300)</f>
        <v>-12587.769669055609</v>
      </c>
    </row>
    <row r="297" spans="4:23" x14ac:dyDescent="0.2">
      <c r="D297" s="19"/>
      <c r="I297" s="26"/>
      <c r="K297" s="47"/>
      <c r="L297" s="47"/>
      <c r="M297" s="47"/>
      <c r="N297" s="47"/>
      <c r="O297" s="47"/>
      <c r="P297" s="47"/>
      <c r="Q297" s="47"/>
      <c r="R297" s="47"/>
      <c r="S297" s="47"/>
    </row>
    <row r="298" spans="4:23" x14ac:dyDescent="0.2">
      <c r="D298" s="19" t="s">
        <v>151</v>
      </c>
      <c r="I298" s="26"/>
      <c r="K298" s="47"/>
      <c r="L298" s="47"/>
      <c r="M298" s="47"/>
      <c r="N298" s="47"/>
      <c r="O298" s="47"/>
      <c r="P298" s="47"/>
      <c r="Q298" s="47"/>
      <c r="R298" s="47"/>
      <c r="S298" s="47"/>
    </row>
    <row r="299" spans="4:23" x14ac:dyDescent="0.2">
      <c r="D299" s="19" t="s">
        <v>152</v>
      </c>
      <c r="I299" s="26"/>
      <c r="K299" s="47"/>
      <c r="L299" s="47">
        <f>-$K$129</f>
        <v>-221100</v>
      </c>
      <c r="M299" s="47">
        <f>L299</f>
        <v>-221100</v>
      </c>
      <c r="N299" s="47">
        <v>0</v>
      </c>
      <c r="O299" s="47">
        <v>0</v>
      </c>
      <c r="P299" s="47">
        <v>0</v>
      </c>
      <c r="Q299" s="47">
        <v>0</v>
      </c>
      <c r="R299" s="47">
        <v>0</v>
      </c>
      <c r="S299" s="47">
        <v>0</v>
      </c>
      <c r="T299" s="1">
        <v>0</v>
      </c>
      <c r="U299" s="1">
        <v>0</v>
      </c>
      <c r="V299" s="1">
        <v>0</v>
      </c>
      <c r="W299" s="1">
        <v>0</v>
      </c>
    </row>
    <row r="300" spans="4:23" x14ac:dyDescent="0.2">
      <c r="D300" s="19"/>
      <c r="E300" s="1" t="s">
        <v>445</v>
      </c>
      <c r="I300" s="26"/>
      <c r="K300" s="47"/>
      <c r="L300" s="47">
        <v>0</v>
      </c>
      <c r="M300" s="47">
        <f>L300</f>
        <v>0</v>
      </c>
      <c r="N300" s="47">
        <f>N223</f>
        <v>-8844</v>
      </c>
      <c r="O300" s="47">
        <f>O223</f>
        <v>-9197.76</v>
      </c>
      <c r="P300" s="47">
        <f>P223</f>
        <v>-9565.6704000000009</v>
      </c>
      <c r="Q300" s="47">
        <f>Q223</f>
        <v>-9948.2972160000008</v>
      </c>
      <c r="R300" s="47">
        <f>R223</f>
        <v>-10346.229104640001</v>
      </c>
      <c r="S300" s="47">
        <f>S223</f>
        <v>-10760.0782688256</v>
      </c>
      <c r="T300" s="1">
        <f>T223</f>
        <v>-11190.481399578624</v>
      </c>
      <c r="U300" s="1">
        <f>U223</f>
        <v>-11638.10065556177</v>
      </c>
      <c r="V300" s="1">
        <f>V223</f>
        <v>-12103.62468178424</v>
      </c>
      <c r="W300" s="1">
        <f>W223</f>
        <v>-12587.769669055609</v>
      </c>
    </row>
    <row r="301" spans="4:23" x14ac:dyDescent="0.2">
      <c r="D301" s="17" t="s">
        <v>153</v>
      </c>
      <c r="E301" s="20"/>
      <c r="F301" s="20"/>
      <c r="G301" s="20"/>
      <c r="H301" s="20"/>
      <c r="I301" s="36"/>
      <c r="J301" s="41"/>
      <c r="K301" s="48"/>
      <c r="L301" s="48">
        <f t="shared" ref="L301:W301" si="59">L303</f>
        <v>250000</v>
      </c>
      <c r="M301" s="48"/>
      <c r="N301" s="48">
        <f t="shared" si="59"/>
        <v>0</v>
      </c>
      <c r="O301" s="48">
        <f>O303</f>
        <v>0</v>
      </c>
      <c r="P301" s="48">
        <f>P303</f>
        <v>0</v>
      </c>
      <c r="Q301" s="48">
        <f>Q303</f>
        <v>-16666.666666666657</v>
      </c>
      <c r="R301" s="48">
        <f>R303</f>
        <v>-16666.666666666657</v>
      </c>
      <c r="S301" s="48">
        <f>S303</f>
        <v>-16666.666666666657</v>
      </c>
      <c r="T301" s="48">
        <f>T303</f>
        <v>-16666.666666666657</v>
      </c>
      <c r="U301" s="48">
        <f>U303</f>
        <v>-16666.666666666657</v>
      </c>
      <c r="V301" s="48">
        <f>V303</f>
        <v>-16666.666666666657</v>
      </c>
      <c r="W301" s="48">
        <f>W303</f>
        <v>-16666.666666666657</v>
      </c>
    </row>
    <row r="302" spans="4:23" x14ac:dyDescent="0.2">
      <c r="D302" s="19"/>
      <c r="I302" s="26"/>
      <c r="K302" s="47"/>
      <c r="L302" s="47"/>
      <c r="M302" s="47"/>
      <c r="N302" s="47"/>
      <c r="O302" s="47"/>
      <c r="P302" s="47"/>
      <c r="Q302" s="47"/>
      <c r="R302" s="47"/>
      <c r="S302" s="47"/>
    </row>
    <row r="303" spans="4:23" x14ac:dyDescent="0.2">
      <c r="D303" s="19" t="s">
        <v>154</v>
      </c>
      <c r="I303" s="26"/>
      <c r="K303" s="47"/>
      <c r="L303" s="47">
        <f>(L270+L274)-(K270+K274)</f>
        <v>250000</v>
      </c>
      <c r="M303" s="47">
        <f>L303</f>
        <v>250000</v>
      </c>
      <c r="N303" s="47">
        <f>(N270+N274)-(M270+M274)</f>
        <v>0</v>
      </c>
      <c r="O303" s="47">
        <f>(O270+O274)-(N270+N274)</f>
        <v>0</v>
      </c>
      <c r="P303" s="47">
        <f>(P270+P274)-(O270+O274)</f>
        <v>0</v>
      </c>
      <c r="Q303" s="47">
        <f>(Q270+Q274)-(P270+P274)</f>
        <v>-16666.666666666657</v>
      </c>
      <c r="R303" s="47">
        <f>(R270+R274)-(Q270+Q274)</f>
        <v>-16666.666666666657</v>
      </c>
      <c r="S303" s="47">
        <f>(S270+S274)-(R270+R274)</f>
        <v>-16666.666666666657</v>
      </c>
      <c r="T303" s="1">
        <f>(T270+T274)-(S270+S274)</f>
        <v>-16666.666666666657</v>
      </c>
      <c r="U303" s="1">
        <f>(U270+U274)-(T270+T274)</f>
        <v>-16666.666666666657</v>
      </c>
      <c r="V303" s="1">
        <f>(V270+V274)-(U270+U274)</f>
        <v>-16666.666666666657</v>
      </c>
      <c r="W303" s="1">
        <f>(W270+W274)-(V270+V274)</f>
        <v>-16666.666666666657</v>
      </c>
    </row>
    <row r="304" spans="4:23" x14ac:dyDescent="0.2">
      <c r="D304" s="19"/>
      <c r="I304" s="26"/>
      <c r="K304" s="47"/>
      <c r="L304" s="47"/>
      <c r="M304" s="47"/>
      <c r="N304" s="47"/>
      <c r="O304" s="47"/>
      <c r="P304" s="47"/>
      <c r="Q304" s="47"/>
      <c r="R304" s="47"/>
      <c r="S304" s="47"/>
    </row>
    <row r="305" spans="4:23" x14ac:dyDescent="0.2">
      <c r="D305" s="17" t="s">
        <v>155</v>
      </c>
      <c r="E305" s="20"/>
      <c r="F305" s="20"/>
      <c r="G305" s="20"/>
      <c r="H305" s="20"/>
      <c r="I305" s="36"/>
      <c r="J305" s="41"/>
      <c r="K305" s="48"/>
      <c r="L305" s="48">
        <f t="shared" ref="L305:W305" si="60">L301+L296+L286</f>
        <v>40636.423679070605</v>
      </c>
      <c r="M305" s="48">
        <f t="shared" si="60"/>
        <v>-218640.18454970093</v>
      </c>
      <c r="N305" s="48">
        <f t="shared" si="60"/>
        <v>40702.036060203151</v>
      </c>
      <c r="O305" s="48">
        <f>O301+O296+O286</f>
        <v>100232.98134000601</v>
      </c>
      <c r="P305" s="48">
        <f>P301+P296+P286</f>
        <v>122007.98106798274</v>
      </c>
      <c r="Q305" s="48">
        <f>Q301+Q296+Q286</f>
        <v>135098.74334156734</v>
      </c>
      <c r="R305" s="48">
        <f>R301+R296+R286</f>
        <v>166731.96485417581</v>
      </c>
      <c r="S305" s="48">
        <f>S301+S296+S286</f>
        <v>196774.06490972496</v>
      </c>
      <c r="T305" s="48">
        <f>T301+T296+T286</f>
        <v>200074.17188965279</v>
      </c>
      <c r="U305" s="48">
        <f>U301+U296+U286</f>
        <v>226744.55368194621</v>
      </c>
      <c r="V305" s="48">
        <f>V301+V296+V286</f>
        <v>253706.50012973443</v>
      </c>
      <c r="W305" s="48">
        <f>W301+W296+W286</f>
        <v>281194.326842718</v>
      </c>
    </row>
    <row r="306" spans="4:23" x14ac:dyDescent="0.2">
      <c r="D306" s="19"/>
      <c r="I306" s="26"/>
      <c r="K306" s="47"/>
      <c r="L306" s="47"/>
      <c r="M306" s="47"/>
      <c r="N306" s="47"/>
      <c r="O306" s="47"/>
      <c r="P306" s="47"/>
      <c r="Q306" s="47"/>
      <c r="R306" s="47"/>
      <c r="S306" s="47"/>
    </row>
    <row r="307" spans="4:23" x14ac:dyDescent="0.2">
      <c r="D307" s="19" t="s">
        <v>156</v>
      </c>
      <c r="I307" s="26"/>
      <c r="K307" s="47"/>
      <c r="L307" s="47">
        <f>K250</f>
        <v>51000</v>
      </c>
      <c r="M307" s="47">
        <f>L307</f>
        <v>51000</v>
      </c>
      <c r="N307" s="47">
        <f>M250</f>
        <v>91636.423679070605</v>
      </c>
      <c r="O307" s="47">
        <f>N250</f>
        <v>132338.45973927376</v>
      </c>
      <c r="P307" s="47">
        <f>O250</f>
        <v>232571.44107927976</v>
      </c>
      <c r="Q307" s="47">
        <f>P250</f>
        <v>354579.42214726249</v>
      </c>
      <c r="R307" s="47">
        <f>Q250</f>
        <v>489678.16548882984</v>
      </c>
      <c r="S307" s="47">
        <f>R250</f>
        <v>656410.13034300564</v>
      </c>
      <c r="T307" s="1">
        <f>S250</f>
        <v>853184.19525273063</v>
      </c>
      <c r="U307" s="1">
        <f>T250</f>
        <v>1053258.3671423835</v>
      </c>
      <c r="V307" s="1">
        <f>U250</f>
        <v>1280002.9208243296</v>
      </c>
      <c r="W307" s="1">
        <f>V250</f>
        <v>1533709.420954064</v>
      </c>
    </row>
    <row r="308" spans="4:23" x14ac:dyDescent="0.2">
      <c r="D308" s="19" t="s">
        <v>157</v>
      </c>
      <c r="I308" s="26"/>
      <c r="K308" s="47"/>
      <c r="L308" s="47">
        <f>L307+L305</f>
        <v>91636.423679070605</v>
      </c>
      <c r="M308" s="47">
        <f>L308</f>
        <v>91636.423679070605</v>
      </c>
      <c r="N308" s="47">
        <f>N307+N305</f>
        <v>132338.45973927376</v>
      </c>
      <c r="O308" s="47">
        <f>O307+O305</f>
        <v>232571.44107927976</v>
      </c>
      <c r="P308" s="47">
        <f>P307+P305</f>
        <v>354579.42214726249</v>
      </c>
      <c r="Q308" s="47">
        <f>Q307+Q305</f>
        <v>489678.16548882984</v>
      </c>
      <c r="R308" s="47">
        <f>R307+R305</f>
        <v>656410.13034300564</v>
      </c>
      <c r="S308" s="47">
        <f>S307+S305</f>
        <v>853184.19525273063</v>
      </c>
      <c r="T308" s="1">
        <f>T307+T305</f>
        <v>1053258.3671423835</v>
      </c>
      <c r="U308" s="1">
        <f>U307+U305</f>
        <v>1280002.9208243296</v>
      </c>
      <c r="V308" s="1">
        <f>V307+V305</f>
        <v>1533709.420954064</v>
      </c>
      <c r="W308" s="1">
        <f>W307+W305</f>
        <v>1814903.7477967821</v>
      </c>
    </row>
    <row r="309" spans="4:23" x14ac:dyDescent="0.2">
      <c r="K309" s="47"/>
      <c r="L309" s="47"/>
      <c r="M309" s="47"/>
      <c r="N309" s="47"/>
      <c r="O309" s="47"/>
      <c r="P309" s="47"/>
      <c r="Q309" s="47"/>
      <c r="R309" s="47"/>
      <c r="S309" s="47"/>
    </row>
    <row r="310" spans="4:23" x14ac:dyDescent="0.2">
      <c r="K310" s="47"/>
      <c r="L310" s="47"/>
      <c r="M310" s="47"/>
      <c r="N310" s="47"/>
      <c r="O310" s="47"/>
      <c r="P310" s="47"/>
      <c r="Q310" s="47"/>
      <c r="R310" s="47"/>
      <c r="S310" s="47"/>
    </row>
    <row r="311" spans="4:23" x14ac:dyDescent="0.2">
      <c r="D311" s="1" t="s">
        <v>391</v>
      </c>
      <c r="K311" s="47">
        <f>(K250+K251+K252+K253)-(K267+K268+K269+K270)</f>
        <v>-13299</v>
      </c>
      <c r="L311" s="237">
        <f>(L250+L251+L252+L253)-(L267+L268+L269+L270)</f>
        <v>18060.815450299066</v>
      </c>
      <c r="M311" s="237">
        <f>L311</f>
        <v>18060.815450299066</v>
      </c>
      <c r="N311" s="237">
        <f>(N250+N251+N252+N253)-(N267+N268+N269+N270)</f>
        <v>44266.192716278601</v>
      </c>
      <c r="O311" s="237">
        <f>(O250+O251+O252+O253)-(O267+O268+O269+O270)</f>
        <v>116104.5797328325</v>
      </c>
      <c r="P311" s="237">
        <f>(P250+P251+P252+P253)-(P267+P268+P269+P270)</f>
        <v>204708.34455313144</v>
      </c>
      <c r="Q311" s="237">
        <f>(Q250+Q251+Q252+Q253)-(Q267+Q268+Q269+Q270)</f>
        <v>323607.20403961913</v>
      </c>
      <c r="R311" s="237">
        <f>(R250+R251+R252+R253)-(R267+R268+R269+R270)</f>
        <v>474318.3616831915</v>
      </c>
      <c r="S311" s="237">
        <f>(S250+S251+S252+S253)-(S267+S268+S269+S270)</f>
        <v>655502.49202285393</v>
      </c>
      <c r="T311" s="237">
        <f>(T250+T251+T252+T253)-(T267+T268+T269+T270)</f>
        <v>839981.40068897675</v>
      </c>
      <c r="U311" s="237">
        <f>(U250+U251+U252+U253)-(U267+U268+U269+U270)</f>
        <v>1050982.8995886473</v>
      </c>
      <c r="V311" s="237">
        <f>(V250+V251+V252+V253)-(V267+V268+V269+V270)</f>
        <v>1288678.5819226857</v>
      </c>
      <c r="W311" s="237">
        <f>(W250+W251+W252+W253)-(W267+W268+W269+W270)</f>
        <v>1553469.0595601911</v>
      </c>
    </row>
    <row r="312" spans="4:23" x14ac:dyDescent="0.2">
      <c r="D312" s="1" t="s">
        <v>392</v>
      </c>
      <c r="K312" s="47"/>
      <c r="L312" s="237">
        <f>L311-K311</f>
        <v>31359.815450299066</v>
      </c>
      <c r="M312" s="237">
        <f>L312</f>
        <v>31359.815450299066</v>
      </c>
      <c r="N312" s="237">
        <f>N311-M311</f>
        <v>26205.377265979536</v>
      </c>
      <c r="O312" s="237">
        <f>O311-N311</f>
        <v>71838.387016553897</v>
      </c>
      <c r="P312" s="237">
        <f>P311-O311</f>
        <v>88603.764820298937</v>
      </c>
      <c r="Q312" s="237">
        <f>Q311-P311</f>
        <v>118898.85948648769</v>
      </c>
      <c r="R312" s="237">
        <f>R311-Q311</f>
        <v>150711.15764357237</v>
      </c>
      <c r="S312" s="237">
        <f>S311-R311</f>
        <v>181184.13033966243</v>
      </c>
      <c r="T312" s="237">
        <f>T311-S311</f>
        <v>184478.90866612282</v>
      </c>
      <c r="U312" s="237">
        <f>U311-T311</f>
        <v>211001.49889967055</v>
      </c>
      <c r="V312" s="237">
        <f>V311-U311</f>
        <v>237695.68233403843</v>
      </c>
      <c r="W312" s="237">
        <f>W311-V311</f>
        <v>264790.47763750539</v>
      </c>
    </row>
    <row r="313" spans="4:23" x14ac:dyDescent="0.2">
      <c r="K313" s="47"/>
      <c r="L313" s="47"/>
      <c r="M313" s="47"/>
      <c r="N313" s="47"/>
      <c r="O313" s="47"/>
      <c r="P313" s="47"/>
      <c r="Q313" s="47"/>
      <c r="R313" s="47"/>
      <c r="S313" s="47"/>
    </row>
    <row r="314" spans="4:23" s="239" customFormat="1" x14ac:dyDescent="0.2">
      <c r="J314" s="240"/>
      <c r="K314" s="241"/>
      <c r="L314" s="241"/>
      <c r="M314" s="241"/>
      <c r="N314" s="241"/>
      <c r="O314" s="241"/>
      <c r="P314" s="241"/>
      <c r="Q314" s="241"/>
      <c r="R314" s="241"/>
      <c r="S314" s="241"/>
    </row>
    <row r="315" spans="4:23" x14ac:dyDescent="0.2">
      <c r="K315" s="47"/>
      <c r="L315" s="47"/>
      <c r="M315" s="47"/>
      <c r="N315" s="47"/>
      <c r="O315" s="47"/>
      <c r="P315" s="47"/>
      <c r="Q315" s="47"/>
      <c r="R315" s="47"/>
      <c r="S315" s="47"/>
    </row>
    <row r="316" spans="4:23" x14ac:dyDescent="0.2">
      <c r="K316" s="47"/>
      <c r="L316" s="47"/>
      <c r="M316" s="47"/>
      <c r="N316" s="47"/>
      <c r="O316" s="47"/>
      <c r="P316" s="47"/>
      <c r="Q316" s="47"/>
      <c r="R316" s="47"/>
      <c r="S316" s="47"/>
    </row>
    <row r="317" spans="4:23" x14ac:dyDescent="0.2">
      <c r="K317" s="47"/>
      <c r="L317" s="47"/>
      <c r="M317" s="47"/>
      <c r="N317" s="47"/>
      <c r="O317" s="47"/>
      <c r="P317" s="47"/>
      <c r="Q317" s="47"/>
      <c r="R317" s="47"/>
      <c r="S317" s="47"/>
    </row>
    <row r="318" spans="4:23" x14ac:dyDescent="0.2">
      <c r="K318" s="47"/>
      <c r="L318" s="47"/>
      <c r="M318" s="47"/>
      <c r="N318" s="47"/>
      <c r="O318" s="47"/>
      <c r="P318" s="47"/>
      <c r="Q318" s="47"/>
      <c r="R318" s="47"/>
      <c r="S318" s="47"/>
    </row>
    <row r="319" spans="4:23" x14ac:dyDescent="0.2">
      <c r="K319" s="47"/>
      <c r="L319" s="47"/>
      <c r="M319" s="47"/>
      <c r="N319" s="47"/>
      <c r="O319" s="47"/>
      <c r="P319" s="47"/>
      <c r="Q319" s="47"/>
      <c r="R319" s="47"/>
      <c r="S319" s="47"/>
    </row>
    <row r="320" spans="4:23" x14ac:dyDescent="0.2">
      <c r="K320" s="47"/>
      <c r="L320" s="47"/>
      <c r="M320" s="47"/>
      <c r="N320" s="47"/>
      <c r="O320" s="47"/>
      <c r="P320" s="47"/>
      <c r="Q320" s="47"/>
      <c r="R320" s="47"/>
      <c r="S320" s="47"/>
    </row>
    <row r="321" spans="11:19" x14ac:dyDescent="0.2">
      <c r="K321" s="47"/>
      <c r="L321" s="47"/>
      <c r="M321" s="47"/>
      <c r="N321" s="47"/>
      <c r="O321" s="47"/>
      <c r="P321" s="47"/>
      <c r="Q321" s="47"/>
      <c r="R321" s="47"/>
      <c r="S321" s="47"/>
    </row>
    <row r="322" spans="11:19" x14ac:dyDescent="0.2">
      <c r="K322" s="47"/>
      <c r="L322" s="47"/>
      <c r="M322" s="47"/>
      <c r="N322" s="47"/>
      <c r="O322" s="47"/>
      <c r="P322" s="47"/>
      <c r="Q322" s="47"/>
      <c r="R322" s="47"/>
      <c r="S322" s="47"/>
    </row>
    <row r="323" spans="11:19" x14ac:dyDescent="0.2">
      <c r="K323" s="47"/>
      <c r="L323" s="47"/>
      <c r="M323" s="47"/>
      <c r="N323" s="47"/>
      <c r="O323" s="47"/>
      <c r="P323" s="47"/>
      <c r="Q323" s="47"/>
      <c r="R323" s="47"/>
      <c r="S323" s="47"/>
    </row>
    <row r="324" spans="11:19" x14ac:dyDescent="0.2">
      <c r="K324" s="47"/>
      <c r="L324" s="47"/>
      <c r="M324" s="47"/>
      <c r="N324" s="47"/>
      <c r="O324" s="47"/>
      <c r="P324" s="47"/>
      <c r="Q324" s="47"/>
      <c r="R324" s="47"/>
      <c r="S324" s="47"/>
    </row>
    <row r="325" spans="11:19" x14ac:dyDescent="0.2">
      <c r="K325" s="47"/>
      <c r="L325" s="47"/>
      <c r="M325" s="47"/>
      <c r="N325" s="47"/>
      <c r="O325" s="47"/>
      <c r="P325" s="47"/>
      <c r="Q325" s="47"/>
      <c r="R325" s="47"/>
      <c r="S325" s="47"/>
    </row>
    <row r="326" spans="11:19" x14ac:dyDescent="0.2">
      <c r="K326" s="47"/>
      <c r="L326" s="47"/>
      <c r="M326" s="47"/>
      <c r="N326" s="47"/>
      <c r="O326" s="47"/>
      <c r="P326" s="47"/>
      <c r="Q326" s="47"/>
      <c r="R326" s="47"/>
      <c r="S326" s="47"/>
    </row>
    <row r="327" spans="11:19" x14ac:dyDescent="0.2">
      <c r="K327" s="47"/>
      <c r="L327" s="47"/>
      <c r="M327" s="47"/>
      <c r="N327" s="47"/>
      <c r="O327" s="47"/>
      <c r="P327" s="47"/>
      <c r="Q327" s="47"/>
      <c r="R327" s="47"/>
      <c r="S327" s="47"/>
    </row>
    <row r="328" spans="11:19" x14ac:dyDescent="0.2">
      <c r="K328" s="47"/>
      <c r="L328" s="47"/>
      <c r="M328" s="47"/>
      <c r="N328" s="47"/>
      <c r="O328" s="47"/>
      <c r="P328" s="47"/>
      <c r="Q328" s="47"/>
      <c r="R328" s="47"/>
      <c r="S328" s="47"/>
    </row>
    <row r="329" spans="11:19" x14ac:dyDescent="0.2">
      <c r="K329" s="47"/>
      <c r="L329" s="47"/>
      <c r="M329" s="47"/>
      <c r="N329" s="47"/>
      <c r="O329" s="47"/>
      <c r="P329" s="47"/>
      <c r="Q329" s="47"/>
      <c r="R329" s="47"/>
      <c r="S329" s="47"/>
    </row>
    <row r="330" spans="11:19" x14ac:dyDescent="0.2">
      <c r="K330" s="47"/>
      <c r="L330" s="47"/>
      <c r="M330" s="47"/>
      <c r="N330" s="47"/>
      <c r="O330" s="47"/>
      <c r="P330" s="47"/>
      <c r="Q330" s="47"/>
      <c r="R330" s="47"/>
      <c r="S330" s="47"/>
    </row>
    <row r="331" spans="11:19" x14ac:dyDescent="0.2">
      <c r="K331" s="47"/>
      <c r="L331" s="47"/>
      <c r="M331" s="47"/>
      <c r="N331" s="47"/>
      <c r="O331" s="47"/>
      <c r="P331" s="47"/>
      <c r="Q331" s="47"/>
      <c r="R331" s="47"/>
      <c r="S331" s="47"/>
    </row>
    <row r="332" spans="11:19" x14ac:dyDescent="0.2">
      <c r="K332" s="47"/>
      <c r="L332" s="47"/>
      <c r="M332" s="47"/>
      <c r="N332" s="47"/>
      <c r="O332" s="47"/>
      <c r="P332" s="47"/>
      <c r="Q332" s="47"/>
      <c r="R332" s="47"/>
      <c r="S332" s="47"/>
    </row>
    <row r="333" spans="11:19" x14ac:dyDescent="0.2">
      <c r="K333" s="47"/>
      <c r="L333" s="47"/>
      <c r="M333" s="47"/>
      <c r="N333" s="47"/>
      <c r="O333" s="47"/>
      <c r="P333" s="47"/>
      <c r="Q333" s="47"/>
      <c r="R333" s="47"/>
      <c r="S333" s="47"/>
    </row>
    <row r="334" spans="11:19" x14ac:dyDescent="0.2">
      <c r="K334" s="47"/>
      <c r="L334" s="47"/>
      <c r="M334" s="47"/>
      <c r="N334" s="47"/>
      <c r="O334" s="47"/>
      <c r="P334" s="47"/>
      <c r="Q334" s="47"/>
      <c r="R334" s="47"/>
      <c r="S334" s="47"/>
    </row>
    <row r="335" spans="11:19" x14ac:dyDescent="0.2">
      <c r="K335" s="47"/>
      <c r="L335" s="47"/>
      <c r="M335" s="47"/>
      <c r="N335" s="47"/>
      <c r="O335" s="47"/>
      <c r="P335" s="47"/>
      <c r="Q335" s="47"/>
      <c r="R335" s="47"/>
      <c r="S335" s="47"/>
    </row>
    <row r="336" spans="11:19" x14ac:dyDescent="0.2">
      <c r="K336" s="47"/>
      <c r="L336" s="47"/>
      <c r="M336" s="47"/>
      <c r="N336" s="47"/>
      <c r="O336" s="47"/>
      <c r="P336" s="47"/>
      <c r="Q336" s="47"/>
      <c r="R336" s="47"/>
      <c r="S336" s="47"/>
    </row>
    <row r="337" spans="11:23" x14ac:dyDescent="0.2">
      <c r="K337" s="47"/>
      <c r="L337" s="47"/>
      <c r="M337" s="47"/>
      <c r="N337" s="47"/>
      <c r="O337" s="47"/>
      <c r="P337" s="47"/>
      <c r="Q337" s="47"/>
      <c r="R337" s="47"/>
      <c r="S337" s="47"/>
    </row>
    <row r="338" spans="11:23" x14ac:dyDescent="0.2">
      <c r="K338" s="47"/>
      <c r="L338" s="47"/>
      <c r="M338" s="47"/>
      <c r="N338" s="47"/>
      <c r="O338" s="47"/>
      <c r="P338" s="47"/>
      <c r="Q338" s="47"/>
      <c r="R338" s="47"/>
      <c r="S338" s="47"/>
    </row>
    <row r="339" spans="11:23" x14ac:dyDescent="0.2">
      <c r="K339" s="47"/>
      <c r="L339" s="47"/>
      <c r="M339" s="47"/>
      <c r="N339" s="47"/>
      <c r="O339" s="47"/>
      <c r="P339" s="47"/>
      <c r="Q339" s="47"/>
      <c r="R339" s="47"/>
      <c r="S339" s="47"/>
    </row>
    <row r="340" spans="11:23" x14ac:dyDescent="0.2">
      <c r="K340" s="47"/>
      <c r="L340" s="47"/>
      <c r="M340" s="47"/>
      <c r="N340" s="47"/>
      <c r="O340" s="47"/>
      <c r="P340" s="47"/>
      <c r="Q340" s="47"/>
      <c r="R340" s="47"/>
      <c r="S340" s="47"/>
    </row>
    <row r="341" spans="11:23" x14ac:dyDescent="0.2">
      <c r="K341" s="47"/>
      <c r="L341" s="47"/>
      <c r="M341" s="47"/>
      <c r="N341" s="47"/>
      <c r="O341" s="47"/>
      <c r="P341" s="47"/>
      <c r="Q341" s="47"/>
      <c r="R341" s="47"/>
      <c r="S341" s="47"/>
    </row>
    <row r="342" spans="11:23" x14ac:dyDescent="0.2">
      <c r="K342" s="47"/>
      <c r="L342" s="47"/>
      <c r="M342" s="47"/>
      <c r="N342" s="47"/>
      <c r="O342" s="47"/>
      <c r="P342" s="47"/>
      <c r="Q342" s="47"/>
      <c r="R342" s="47"/>
      <c r="S342" s="47"/>
    </row>
    <row r="343" spans="11:23" x14ac:dyDescent="0.2">
      <c r="K343" s="47"/>
      <c r="L343" s="47"/>
      <c r="M343" s="47"/>
      <c r="N343" s="47"/>
      <c r="O343" s="47"/>
      <c r="P343" s="47"/>
      <c r="Q343" s="47"/>
      <c r="R343" s="47"/>
      <c r="S343" s="47"/>
    </row>
    <row r="344" spans="11:23" x14ac:dyDescent="0.2"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</row>
    <row r="345" spans="11:23" x14ac:dyDescent="0.2"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</row>
    <row r="346" spans="11:23" x14ac:dyDescent="0.2"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</row>
    <row r="347" spans="11:23" x14ac:dyDescent="0.2"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</row>
    <row r="348" spans="11:23" x14ac:dyDescent="0.2"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</row>
    <row r="349" spans="11:23" x14ac:dyDescent="0.2"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</row>
    <row r="350" spans="11:23" x14ac:dyDescent="0.2"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</row>
    <row r="351" spans="11:23" x14ac:dyDescent="0.2"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</row>
    <row r="352" spans="11:23" x14ac:dyDescent="0.2"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</row>
    <row r="353" spans="11:23" x14ac:dyDescent="0.2"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</row>
    <row r="354" spans="11:23" x14ac:dyDescent="0.2"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</row>
    <row r="355" spans="11:23" x14ac:dyDescent="0.2"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</row>
    <row r="356" spans="11:23" x14ac:dyDescent="0.2"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</row>
    <row r="357" spans="11:23" x14ac:dyDescent="0.2"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</row>
    <row r="358" spans="11:23" x14ac:dyDescent="0.2"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</row>
    <row r="359" spans="11:23" x14ac:dyDescent="0.2"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</row>
    <row r="360" spans="11:23" x14ac:dyDescent="0.2"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</row>
    <row r="361" spans="11:23" x14ac:dyDescent="0.2"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</row>
    <row r="362" spans="11:23" x14ac:dyDescent="0.2"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</row>
    <row r="363" spans="11:23" x14ac:dyDescent="0.2"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</row>
    <row r="364" spans="11:23" x14ac:dyDescent="0.2"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</row>
    <row r="365" spans="11:23" x14ac:dyDescent="0.2"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</row>
    <row r="366" spans="11:23" x14ac:dyDescent="0.2"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</row>
    <row r="367" spans="11:23" x14ac:dyDescent="0.2"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</row>
    <row r="368" spans="11:23" x14ac:dyDescent="0.2"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</row>
    <row r="369" spans="11:23" x14ac:dyDescent="0.2"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</row>
    <row r="370" spans="11:23" x14ac:dyDescent="0.2"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</row>
    <row r="371" spans="11:23" x14ac:dyDescent="0.2"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</row>
    <row r="372" spans="11:23" x14ac:dyDescent="0.2"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</row>
    <row r="373" spans="11:23" x14ac:dyDescent="0.2"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</row>
    <row r="374" spans="11:23" x14ac:dyDescent="0.2"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</row>
    <row r="375" spans="11:23" x14ac:dyDescent="0.2"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</row>
    <row r="376" spans="11:23" x14ac:dyDescent="0.2"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</row>
    <row r="377" spans="11:23" x14ac:dyDescent="0.2"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</row>
    <row r="378" spans="11:23" x14ac:dyDescent="0.2"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</row>
    <row r="379" spans="11:23" x14ac:dyDescent="0.2"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</row>
    <row r="380" spans="11:23" x14ac:dyDescent="0.2"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</row>
    <row r="381" spans="11:23" x14ac:dyDescent="0.2"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</row>
    <row r="382" spans="11:23" x14ac:dyDescent="0.2"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</row>
    <row r="383" spans="11:23" x14ac:dyDescent="0.2"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</row>
    <row r="384" spans="11:23" x14ac:dyDescent="0.2"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</row>
    <row r="385" spans="11:23" x14ac:dyDescent="0.2"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</row>
    <row r="386" spans="11:23" x14ac:dyDescent="0.2"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</row>
    <row r="387" spans="11:23" x14ac:dyDescent="0.2"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</row>
    <row r="388" spans="11:23" x14ac:dyDescent="0.2"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</row>
    <row r="389" spans="11:23" x14ac:dyDescent="0.2"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</row>
    <row r="390" spans="11:23" x14ac:dyDescent="0.2"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</row>
    <row r="391" spans="11:23" x14ac:dyDescent="0.2"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</row>
    <row r="392" spans="11:23" x14ac:dyDescent="0.2"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</row>
    <row r="393" spans="11:23" x14ac:dyDescent="0.2"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</row>
    <row r="394" spans="11:23" x14ac:dyDescent="0.2"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</row>
    <row r="395" spans="11:23" x14ac:dyDescent="0.2"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</row>
    <row r="396" spans="11:23" x14ac:dyDescent="0.2"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</row>
    <row r="397" spans="11:23" x14ac:dyDescent="0.2"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</row>
    <row r="398" spans="11:23" x14ac:dyDescent="0.2"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</row>
    <row r="399" spans="11:23" x14ac:dyDescent="0.2"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</row>
    <row r="400" spans="11:23" x14ac:dyDescent="0.2"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</row>
    <row r="401" spans="11:23" x14ac:dyDescent="0.2"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</row>
    <row r="402" spans="11:23" x14ac:dyDescent="0.2"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</row>
    <row r="403" spans="11:23" x14ac:dyDescent="0.2"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</row>
    <row r="404" spans="11:23" x14ac:dyDescent="0.2"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</row>
    <row r="405" spans="11:23" x14ac:dyDescent="0.2"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</row>
    <row r="406" spans="11:23" x14ac:dyDescent="0.2"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</row>
    <row r="407" spans="11:23" x14ac:dyDescent="0.2"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</row>
    <row r="408" spans="11:23" x14ac:dyDescent="0.2"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</row>
    <row r="409" spans="11:23" x14ac:dyDescent="0.2"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</row>
    <row r="410" spans="11:23" x14ac:dyDescent="0.2"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</row>
    <row r="411" spans="11:23" x14ac:dyDescent="0.2"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</row>
    <row r="412" spans="11:23" x14ac:dyDescent="0.2"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</row>
    <row r="413" spans="11:23" x14ac:dyDescent="0.2"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</row>
    <row r="414" spans="11:23" x14ac:dyDescent="0.2"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</row>
    <row r="415" spans="11:23" x14ac:dyDescent="0.2"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</row>
    <row r="416" spans="11:23" x14ac:dyDescent="0.2"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</row>
    <row r="417" spans="11:23" x14ac:dyDescent="0.2"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</row>
    <row r="418" spans="11:23" x14ac:dyDescent="0.2"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</row>
    <row r="419" spans="11:23" x14ac:dyDescent="0.2"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</row>
    <row r="420" spans="11:23" x14ac:dyDescent="0.2"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</row>
    <row r="421" spans="11:23" x14ac:dyDescent="0.2"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</row>
    <row r="422" spans="11:23" x14ac:dyDescent="0.2"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</row>
    <row r="423" spans="11:23" x14ac:dyDescent="0.2"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</row>
    <row r="424" spans="11:23" x14ac:dyDescent="0.2"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</row>
    <row r="425" spans="11:23" x14ac:dyDescent="0.2"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</row>
    <row r="426" spans="11:23" x14ac:dyDescent="0.2"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</row>
    <row r="427" spans="11:23" x14ac:dyDescent="0.2"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</row>
    <row r="428" spans="11:23" x14ac:dyDescent="0.2"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</row>
    <row r="429" spans="11:23" x14ac:dyDescent="0.2"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</row>
    <row r="430" spans="11:23" x14ac:dyDescent="0.2"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</row>
    <row r="431" spans="11:23" x14ac:dyDescent="0.2"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</row>
    <row r="432" spans="11:23" x14ac:dyDescent="0.2"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</row>
    <row r="433" spans="11:23" x14ac:dyDescent="0.2"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</row>
    <row r="434" spans="11:23" x14ac:dyDescent="0.2"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</row>
    <row r="435" spans="11:23" x14ac:dyDescent="0.2"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</row>
    <row r="436" spans="11:23" x14ac:dyDescent="0.2"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</row>
    <row r="437" spans="11:23" x14ac:dyDescent="0.2"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</row>
    <row r="438" spans="11:23" x14ac:dyDescent="0.2"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</row>
    <row r="439" spans="11:23" x14ac:dyDescent="0.2"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</row>
    <row r="440" spans="11:23" x14ac:dyDescent="0.2"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</row>
    <row r="441" spans="11:23" x14ac:dyDescent="0.2"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</row>
    <row r="442" spans="11:23" x14ac:dyDescent="0.2"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</row>
    <row r="443" spans="11:23" x14ac:dyDescent="0.2"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</row>
    <row r="444" spans="11:23" x14ac:dyDescent="0.2"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</row>
    <row r="445" spans="11:23" x14ac:dyDescent="0.2"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</row>
    <row r="446" spans="11:23" x14ac:dyDescent="0.2"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</row>
    <row r="447" spans="11:23" x14ac:dyDescent="0.2"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</row>
    <row r="448" spans="11:23" x14ac:dyDescent="0.2"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</row>
    <row r="449" spans="11:23" x14ac:dyDescent="0.2"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</row>
    <row r="450" spans="11:23" x14ac:dyDescent="0.2"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</row>
    <row r="451" spans="11:23" x14ac:dyDescent="0.2"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</row>
    <row r="452" spans="11:23" x14ac:dyDescent="0.2"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</row>
    <row r="453" spans="11:23" x14ac:dyDescent="0.2"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</row>
    <row r="454" spans="11:23" x14ac:dyDescent="0.2"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</row>
    <row r="455" spans="11:23" x14ac:dyDescent="0.2"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</row>
    <row r="456" spans="11:23" x14ac:dyDescent="0.2"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</row>
    <row r="457" spans="11:23" x14ac:dyDescent="0.2"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</row>
    <row r="458" spans="11:23" x14ac:dyDescent="0.2"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</row>
    <row r="459" spans="11:23" x14ac:dyDescent="0.2"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</row>
    <row r="460" spans="11:23" x14ac:dyDescent="0.2"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</row>
    <row r="461" spans="11:23" x14ac:dyDescent="0.2"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</row>
    <row r="462" spans="11:23" x14ac:dyDescent="0.2"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</row>
    <row r="463" spans="11:23" x14ac:dyDescent="0.2"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</row>
    <row r="464" spans="11:23" x14ac:dyDescent="0.2"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</row>
    <row r="465" spans="11:23" x14ac:dyDescent="0.2"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</row>
    <row r="466" spans="11:23" x14ac:dyDescent="0.2"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</row>
    <row r="467" spans="11:23" x14ac:dyDescent="0.2"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</row>
    <row r="468" spans="11:23" x14ac:dyDescent="0.2"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</row>
    <row r="469" spans="11:23" x14ac:dyDescent="0.2"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</row>
    <row r="470" spans="11:23" x14ac:dyDescent="0.2"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</row>
    <row r="471" spans="11:23" x14ac:dyDescent="0.2"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</row>
    <row r="472" spans="11:23" x14ac:dyDescent="0.2"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</row>
    <row r="473" spans="11:23" x14ac:dyDescent="0.2"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</row>
    <row r="474" spans="11:23" x14ac:dyDescent="0.2"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</row>
    <row r="475" spans="11:23" x14ac:dyDescent="0.2"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</row>
    <row r="476" spans="11:23" x14ac:dyDescent="0.2"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</row>
    <row r="477" spans="11:23" x14ac:dyDescent="0.2"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</row>
    <row r="478" spans="11:23" x14ac:dyDescent="0.2"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</row>
    <row r="479" spans="11:23" x14ac:dyDescent="0.2"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</row>
    <row r="480" spans="11:23" x14ac:dyDescent="0.2"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</row>
    <row r="481" spans="11:23" x14ac:dyDescent="0.2"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</row>
    <row r="482" spans="11:23" x14ac:dyDescent="0.2"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</row>
    <row r="483" spans="11:23" x14ac:dyDescent="0.2"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</row>
    <row r="484" spans="11:23" x14ac:dyDescent="0.2"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</row>
    <row r="485" spans="11:23" x14ac:dyDescent="0.2"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</row>
    <row r="486" spans="11:23" x14ac:dyDescent="0.2"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</row>
    <row r="487" spans="11:23" x14ac:dyDescent="0.2"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</row>
    <row r="488" spans="11:23" x14ac:dyDescent="0.2"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</row>
    <row r="489" spans="11:23" x14ac:dyDescent="0.2"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</row>
    <row r="490" spans="11:23" x14ac:dyDescent="0.2"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</row>
    <row r="491" spans="11:23" x14ac:dyDescent="0.2"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</row>
    <row r="492" spans="11:23" x14ac:dyDescent="0.2"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</row>
    <row r="493" spans="11:23" x14ac:dyDescent="0.2"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</row>
    <row r="494" spans="11:23" x14ac:dyDescent="0.2"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</row>
    <row r="495" spans="11:23" x14ac:dyDescent="0.2"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</row>
    <row r="496" spans="11:23" x14ac:dyDescent="0.2"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</row>
    <row r="497" spans="11:23" x14ac:dyDescent="0.2"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</row>
    <row r="498" spans="11:23" x14ac:dyDescent="0.2"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</row>
    <row r="499" spans="11:23" x14ac:dyDescent="0.2"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</row>
    <row r="500" spans="11:23" x14ac:dyDescent="0.2"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</row>
    <row r="501" spans="11:23" x14ac:dyDescent="0.2"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</row>
    <row r="502" spans="11:23" x14ac:dyDescent="0.2"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</row>
    <row r="503" spans="11:23" x14ac:dyDescent="0.2"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</row>
    <row r="504" spans="11:23" x14ac:dyDescent="0.2"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</row>
    <row r="505" spans="11:23" x14ac:dyDescent="0.2"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</row>
    <row r="506" spans="11:23" x14ac:dyDescent="0.2"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</row>
    <row r="507" spans="11:23" x14ac:dyDescent="0.2"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</row>
    <row r="508" spans="11:23" x14ac:dyDescent="0.2"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</row>
    <row r="509" spans="11:23" x14ac:dyDescent="0.2"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</row>
    <row r="510" spans="11:23" x14ac:dyDescent="0.2"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</row>
    <row r="511" spans="11:23" x14ac:dyDescent="0.2"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</row>
    <row r="512" spans="11:23" x14ac:dyDescent="0.2"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</row>
    <row r="513" spans="11:23" x14ac:dyDescent="0.2"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</row>
    <row r="514" spans="11:23" x14ac:dyDescent="0.2"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</row>
    <row r="515" spans="11:23" x14ac:dyDescent="0.2"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</row>
    <row r="516" spans="11:23" x14ac:dyDescent="0.2"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</row>
    <row r="517" spans="11:23" x14ac:dyDescent="0.2"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</row>
    <row r="518" spans="11:23" x14ac:dyDescent="0.2"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</row>
    <row r="519" spans="11:23" x14ac:dyDescent="0.2"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</row>
    <row r="520" spans="11:23" x14ac:dyDescent="0.2"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</row>
    <row r="521" spans="11:23" x14ac:dyDescent="0.2"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</row>
    <row r="522" spans="11:23" x14ac:dyDescent="0.2"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</row>
    <row r="523" spans="11:23" x14ac:dyDescent="0.2"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</row>
    <row r="524" spans="11:23" x14ac:dyDescent="0.2"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</row>
    <row r="525" spans="11:23" x14ac:dyDescent="0.2"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</row>
    <row r="526" spans="11:23" x14ac:dyDescent="0.2"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</row>
    <row r="527" spans="11:23" x14ac:dyDescent="0.2"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</row>
    <row r="528" spans="11:23" x14ac:dyDescent="0.2"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</row>
    <row r="529" spans="11:23" x14ac:dyDescent="0.2"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</row>
    <row r="530" spans="11:23" x14ac:dyDescent="0.2"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</row>
    <row r="531" spans="11:23" x14ac:dyDescent="0.2"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</row>
    <row r="532" spans="11:23" x14ac:dyDescent="0.2"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</row>
    <row r="533" spans="11:23" x14ac:dyDescent="0.2"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</row>
    <row r="534" spans="11:23" x14ac:dyDescent="0.2"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</row>
    <row r="535" spans="11:23" x14ac:dyDescent="0.2"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</row>
    <row r="536" spans="11:23" x14ac:dyDescent="0.2"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</row>
    <row r="537" spans="11:23" x14ac:dyDescent="0.2"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</row>
    <row r="538" spans="11:23" x14ac:dyDescent="0.2"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</row>
    <row r="539" spans="11:23" x14ac:dyDescent="0.2"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</row>
    <row r="540" spans="11:23" x14ac:dyDescent="0.2"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</row>
    <row r="541" spans="11:23" x14ac:dyDescent="0.2"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</row>
    <row r="542" spans="11:23" x14ac:dyDescent="0.2"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</row>
    <row r="543" spans="11:23" x14ac:dyDescent="0.2"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</row>
    <row r="544" spans="11:23" x14ac:dyDescent="0.2"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</row>
    <row r="545" spans="11:23" x14ac:dyDescent="0.2"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</row>
    <row r="546" spans="11:23" x14ac:dyDescent="0.2"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</row>
    <row r="547" spans="11:23" x14ac:dyDescent="0.2"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</row>
    <row r="548" spans="11:23" x14ac:dyDescent="0.2"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</row>
    <row r="549" spans="11:23" x14ac:dyDescent="0.2"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</row>
    <row r="550" spans="11:23" x14ac:dyDescent="0.2"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</row>
    <row r="551" spans="11:23" x14ac:dyDescent="0.2"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</row>
    <row r="552" spans="11:23" x14ac:dyDescent="0.2"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</row>
    <row r="553" spans="11:23" x14ac:dyDescent="0.2"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</row>
    <row r="554" spans="11:23" x14ac:dyDescent="0.2"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</row>
    <row r="555" spans="11:23" x14ac:dyDescent="0.2"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</row>
    <row r="556" spans="11:23" x14ac:dyDescent="0.2"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</row>
    <row r="557" spans="11:23" x14ac:dyDescent="0.2"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</row>
    <row r="558" spans="11:23" x14ac:dyDescent="0.2"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</row>
    <row r="559" spans="11:23" x14ac:dyDescent="0.2"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</row>
    <row r="560" spans="11:23" x14ac:dyDescent="0.2"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</row>
    <row r="561" spans="11:23" x14ac:dyDescent="0.2"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</row>
    <row r="562" spans="11:23" x14ac:dyDescent="0.2"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</row>
    <row r="563" spans="11:23" x14ac:dyDescent="0.2"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</row>
    <row r="564" spans="11:23" x14ac:dyDescent="0.2"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</row>
    <row r="565" spans="11:23" x14ac:dyDescent="0.2"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</row>
    <row r="566" spans="11:23" x14ac:dyDescent="0.2"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</row>
    <row r="567" spans="11:23" x14ac:dyDescent="0.2"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</row>
    <row r="568" spans="11:23" x14ac:dyDescent="0.2"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</row>
    <row r="569" spans="11:23" x14ac:dyDescent="0.2"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</row>
    <row r="570" spans="11:23" x14ac:dyDescent="0.2"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</row>
    <row r="571" spans="11:23" x14ac:dyDescent="0.2"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</row>
    <row r="572" spans="11:23" x14ac:dyDescent="0.2"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</row>
    <row r="573" spans="11:23" x14ac:dyDescent="0.2"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</row>
    <row r="574" spans="11:23" x14ac:dyDescent="0.2"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</row>
    <row r="575" spans="11:23" x14ac:dyDescent="0.2"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</row>
    <row r="576" spans="11:23" x14ac:dyDescent="0.2"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</row>
    <row r="577" spans="11:23" x14ac:dyDescent="0.2"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</row>
    <row r="578" spans="11:23" x14ac:dyDescent="0.2"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</row>
    <row r="579" spans="11:23" x14ac:dyDescent="0.2"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</row>
    <row r="580" spans="11:23" x14ac:dyDescent="0.2"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</row>
    <row r="581" spans="11:23" x14ac:dyDescent="0.2"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</row>
    <row r="582" spans="11:23" x14ac:dyDescent="0.2"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</row>
    <row r="583" spans="11:23" x14ac:dyDescent="0.2"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</row>
    <row r="584" spans="11:23" x14ac:dyDescent="0.2"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</row>
    <row r="585" spans="11:23" x14ac:dyDescent="0.2"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</row>
    <row r="586" spans="11:23" x14ac:dyDescent="0.2"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</row>
    <row r="587" spans="11:23" x14ac:dyDescent="0.2"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</row>
    <row r="588" spans="11:23" x14ac:dyDescent="0.2"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</row>
    <row r="589" spans="11:23" x14ac:dyDescent="0.2"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</row>
    <row r="590" spans="11:23" x14ac:dyDescent="0.2"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</row>
    <row r="591" spans="11:23" x14ac:dyDescent="0.2"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</row>
    <row r="592" spans="11:23" x14ac:dyDescent="0.2"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</row>
    <row r="593" spans="11:23" x14ac:dyDescent="0.2"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</row>
    <row r="594" spans="11:23" x14ac:dyDescent="0.2"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</row>
    <row r="595" spans="11:23" x14ac:dyDescent="0.2"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</row>
    <row r="596" spans="11:23" x14ac:dyDescent="0.2"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</row>
    <row r="597" spans="11:23" x14ac:dyDescent="0.2"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</row>
    <row r="598" spans="11:23" x14ac:dyDescent="0.2"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</row>
    <row r="599" spans="11:23" x14ac:dyDescent="0.2"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</row>
    <row r="600" spans="11:23" x14ac:dyDescent="0.2"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</row>
    <row r="601" spans="11:23" x14ac:dyDescent="0.2"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</row>
    <row r="602" spans="11:23" x14ac:dyDescent="0.2"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</row>
    <row r="603" spans="11:23" x14ac:dyDescent="0.2"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</row>
    <row r="604" spans="11:23" x14ac:dyDescent="0.2"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</row>
    <row r="605" spans="11:23" x14ac:dyDescent="0.2"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</row>
    <row r="606" spans="11:23" x14ac:dyDescent="0.2"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</row>
    <row r="607" spans="11:23" x14ac:dyDescent="0.2"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</row>
    <row r="608" spans="11:23" x14ac:dyDescent="0.2"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</row>
    <row r="609" spans="11:23" x14ac:dyDescent="0.2"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</row>
    <row r="610" spans="11:23" x14ac:dyDescent="0.2"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</row>
    <row r="611" spans="11:23" x14ac:dyDescent="0.2"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</row>
    <row r="612" spans="11:23" x14ac:dyDescent="0.2"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</row>
    <row r="613" spans="11:23" x14ac:dyDescent="0.2"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</row>
    <row r="614" spans="11:23" x14ac:dyDescent="0.2"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</row>
    <row r="615" spans="11:23" x14ac:dyDescent="0.2"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</row>
    <row r="616" spans="11:23" x14ac:dyDescent="0.2"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</row>
    <row r="617" spans="11:23" x14ac:dyDescent="0.2"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</row>
    <row r="618" spans="11:23" x14ac:dyDescent="0.2"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</row>
    <row r="619" spans="11:23" x14ac:dyDescent="0.2"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</row>
    <row r="620" spans="11:23" x14ac:dyDescent="0.2"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</row>
    <row r="621" spans="11:23" x14ac:dyDescent="0.2"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</row>
    <row r="622" spans="11:23" x14ac:dyDescent="0.2"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</row>
    <row r="623" spans="11:23" x14ac:dyDescent="0.2"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</row>
    <row r="624" spans="11:23" x14ac:dyDescent="0.2"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</row>
    <row r="625" spans="11:23" x14ac:dyDescent="0.2"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</row>
    <row r="626" spans="11:23" x14ac:dyDescent="0.2"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</row>
    <row r="627" spans="11:23" x14ac:dyDescent="0.2"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</row>
    <row r="628" spans="11:23" x14ac:dyDescent="0.2"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</row>
    <row r="629" spans="11:23" x14ac:dyDescent="0.2"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</row>
    <row r="630" spans="11:23" x14ac:dyDescent="0.2"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</row>
    <row r="631" spans="11:23" x14ac:dyDescent="0.2"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</row>
    <row r="632" spans="11:23" x14ac:dyDescent="0.2"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</row>
    <row r="633" spans="11:23" x14ac:dyDescent="0.2"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</row>
    <row r="634" spans="11:23" x14ac:dyDescent="0.2"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</row>
    <row r="635" spans="11:23" x14ac:dyDescent="0.2"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</row>
    <row r="636" spans="11:23" x14ac:dyDescent="0.2"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</row>
    <row r="637" spans="11:23" x14ac:dyDescent="0.2"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</row>
    <row r="638" spans="11:23" x14ac:dyDescent="0.2"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</row>
    <row r="639" spans="11:23" x14ac:dyDescent="0.2"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</row>
    <row r="640" spans="11:23" x14ac:dyDescent="0.2"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</row>
    <row r="641" spans="11:23" x14ac:dyDescent="0.2"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</row>
    <row r="642" spans="11:23" x14ac:dyDescent="0.2"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</row>
    <row r="643" spans="11:23" x14ac:dyDescent="0.2"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</row>
    <row r="644" spans="11:23" x14ac:dyDescent="0.2"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</row>
    <row r="645" spans="11:23" x14ac:dyDescent="0.2"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</row>
    <row r="646" spans="11:23" x14ac:dyDescent="0.2"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</row>
    <row r="647" spans="11:23" x14ac:dyDescent="0.2"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</row>
    <row r="648" spans="11:23" x14ac:dyDescent="0.2"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</row>
    <row r="649" spans="11:23" x14ac:dyDescent="0.2"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</row>
    <row r="650" spans="11:23" x14ac:dyDescent="0.2"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</row>
    <row r="651" spans="11:23" x14ac:dyDescent="0.2"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</row>
    <row r="652" spans="11:23" x14ac:dyDescent="0.2"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</row>
    <row r="653" spans="11:23" x14ac:dyDescent="0.2"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</row>
    <row r="654" spans="11:23" x14ac:dyDescent="0.2"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</row>
    <row r="655" spans="11:23" x14ac:dyDescent="0.2"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</row>
    <row r="656" spans="11:23" x14ac:dyDescent="0.2"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</row>
    <row r="657" spans="11:23" x14ac:dyDescent="0.2"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</row>
    <row r="658" spans="11:23" x14ac:dyDescent="0.2"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</row>
    <row r="659" spans="11:23" x14ac:dyDescent="0.2"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</row>
    <row r="660" spans="11:23" x14ac:dyDescent="0.2"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</row>
    <row r="661" spans="11:23" x14ac:dyDescent="0.2"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</row>
    <row r="662" spans="11:23" x14ac:dyDescent="0.2"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</row>
    <row r="663" spans="11:23" x14ac:dyDescent="0.2"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</row>
    <row r="664" spans="11:23" x14ac:dyDescent="0.2"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</row>
    <row r="665" spans="11:23" x14ac:dyDescent="0.2"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</row>
    <row r="666" spans="11:23" x14ac:dyDescent="0.2"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</row>
    <row r="667" spans="11:23" x14ac:dyDescent="0.2"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</row>
    <row r="668" spans="11:23" x14ac:dyDescent="0.2"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</row>
    <row r="669" spans="11:23" x14ac:dyDescent="0.2"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</row>
    <row r="670" spans="11:23" x14ac:dyDescent="0.2"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</row>
    <row r="671" spans="11:23" x14ac:dyDescent="0.2"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</row>
    <row r="672" spans="11:23" x14ac:dyDescent="0.2"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</row>
    <row r="673" spans="11:23" x14ac:dyDescent="0.2"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</row>
    <row r="674" spans="11:23" x14ac:dyDescent="0.2"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</row>
    <row r="675" spans="11:23" x14ac:dyDescent="0.2"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</row>
    <row r="676" spans="11:23" x14ac:dyDescent="0.2"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</row>
    <row r="677" spans="11:23" x14ac:dyDescent="0.2"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</row>
    <row r="678" spans="11:23" x14ac:dyDescent="0.2"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</row>
    <row r="679" spans="11:23" x14ac:dyDescent="0.2"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</row>
    <row r="680" spans="11:23" x14ac:dyDescent="0.2"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</row>
    <row r="681" spans="11:23" x14ac:dyDescent="0.2"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</row>
    <row r="682" spans="11:23" x14ac:dyDescent="0.2"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</row>
    <row r="683" spans="11:23" x14ac:dyDescent="0.2"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</row>
    <row r="684" spans="11:23" x14ac:dyDescent="0.2"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</row>
    <row r="685" spans="11:23" x14ac:dyDescent="0.2"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</row>
    <row r="686" spans="11:23" x14ac:dyDescent="0.2"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</row>
    <row r="687" spans="11:23" x14ac:dyDescent="0.2"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</row>
    <row r="688" spans="11:23" x14ac:dyDescent="0.2"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</row>
    <row r="689" spans="11:23" x14ac:dyDescent="0.2"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</row>
    <row r="690" spans="11:23" x14ac:dyDescent="0.2"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</row>
    <row r="691" spans="11:23" x14ac:dyDescent="0.2"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</row>
    <row r="692" spans="11:23" x14ac:dyDescent="0.2"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</row>
    <row r="693" spans="11:23" x14ac:dyDescent="0.2"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</row>
    <row r="694" spans="11:23" x14ac:dyDescent="0.2"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</row>
    <row r="695" spans="11:23" x14ac:dyDescent="0.2"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</row>
    <row r="696" spans="11:23" x14ac:dyDescent="0.2"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</row>
    <row r="697" spans="11:23" x14ac:dyDescent="0.2"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</row>
    <row r="698" spans="11:23" x14ac:dyDescent="0.2"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</row>
    <row r="699" spans="11:23" x14ac:dyDescent="0.2"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</row>
    <row r="700" spans="11:23" x14ac:dyDescent="0.2"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</row>
    <row r="701" spans="11:23" x14ac:dyDescent="0.2"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</row>
    <row r="702" spans="11:23" x14ac:dyDescent="0.2"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</row>
    <row r="703" spans="11:23" x14ac:dyDescent="0.2"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</row>
    <row r="704" spans="11:23" x14ac:dyDescent="0.2"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</row>
    <row r="705" spans="11:23" x14ac:dyDescent="0.2"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</row>
    <row r="706" spans="11:23" x14ac:dyDescent="0.2"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</row>
    <row r="707" spans="11:23" x14ac:dyDescent="0.2"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</row>
    <row r="708" spans="11:23" x14ac:dyDescent="0.2"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</row>
    <row r="709" spans="11:23" x14ac:dyDescent="0.2"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</row>
    <row r="710" spans="11:23" x14ac:dyDescent="0.2"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</row>
    <row r="711" spans="11:23" x14ac:dyDescent="0.2"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</row>
    <row r="712" spans="11:23" x14ac:dyDescent="0.2"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</row>
    <row r="713" spans="11:23" x14ac:dyDescent="0.2"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</row>
    <row r="714" spans="11:23" x14ac:dyDescent="0.2"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</row>
    <row r="715" spans="11:23" x14ac:dyDescent="0.2"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</row>
    <row r="716" spans="11:23" x14ac:dyDescent="0.2"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</row>
    <row r="717" spans="11:23" x14ac:dyDescent="0.2"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</row>
    <row r="718" spans="11:23" x14ac:dyDescent="0.2"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</row>
    <row r="719" spans="11:23" x14ac:dyDescent="0.2"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</row>
    <row r="720" spans="11:23" x14ac:dyDescent="0.2"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</row>
    <row r="721" spans="11:23" x14ac:dyDescent="0.2"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</row>
    <row r="722" spans="11:23" x14ac:dyDescent="0.2"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</row>
    <row r="723" spans="11:23" x14ac:dyDescent="0.2"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</row>
    <row r="724" spans="11:23" x14ac:dyDescent="0.2"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</row>
    <row r="725" spans="11:23" x14ac:dyDescent="0.2"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</row>
    <row r="726" spans="11:23" x14ac:dyDescent="0.2"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</row>
    <row r="727" spans="11:23" x14ac:dyDescent="0.2"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</row>
    <row r="728" spans="11:23" x14ac:dyDescent="0.2"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</row>
    <row r="729" spans="11:23" x14ac:dyDescent="0.2"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</row>
    <row r="730" spans="11:23" x14ac:dyDescent="0.2"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</row>
    <row r="731" spans="11:23" x14ac:dyDescent="0.2"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</row>
    <row r="732" spans="11:23" x14ac:dyDescent="0.2"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</row>
    <row r="733" spans="11:23" x14ac:dyDescent="0.2"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</row>
    <row r="734" spans="11:23" x14ac:dyDescent="0.2"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</row>
    <row r="735" spans="11:23" x14ac:dyDescent="0.2"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</row>
    <row r="736" spans="11:23" x14ac:dyDescent="0.2"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</row>
    <row r="737" spans="11:23" x14ac:dyDescent="0.2"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</row>
    <row r="738" spans="11:23" x14ac:dyDescent="0.2"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</row>
    <row r="739" spans="11:23" x14ac:dyDescent="0.2"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</row>
    <row r="740" spans="11:23" x14ac:dyDescent="0.2"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</row>
    <row r="741" spans="11:23" x14ac:dyDescent="0.2"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</row>
    <row r="742" spans="11:23" x14ac:dyDescent="0.2"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</row>
    <row r="743" spans="11:23" x14ac:dyDescent="0.2"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</row>
    <row r="744" spans="11:23" x14ac:dyDescent="0.2"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</row>
    <row r="745" spans="11:23" x14ac:dyDescent="0.2"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</row>
    <row r="746" spans="11:23" x14ac:dyDescent="0.2"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</row>
    <row r="747" spans="11:23" x14ac:dyDescent="0.2"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</row>
    <row r="748" spans="11:23" x14ac:dyDescent="0.2"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</row>
    <row r="749" spans="11:23" x14ac:dyDescent="0.2"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</row>
    <row r="750" spans="11:23" x14ac:dyDescent="0.2"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</row>
    <row r="751" spans="11:23" x14ac:dyDescent="0.2"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</row>
    <row r="752" spans="11:23" x14ac:dyDescent="0.2"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</row>
    <row r="753" spans="11:23" x14ac:dyDescent="0.2"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</row>
    <row r="754" spans="11:23" x14ac:dyDescent="0.2"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</row>
    <row r="755" spans="11:23" x14ac:dyDescent="0.2"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</row>
    <row r="756" spans="11:23" x14ac:dyDescent="0.2"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</row>
    <row r="757" spans="11:23" x14ac:dyDescent="0.2"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</row>
    <row r="758" spans="11:23" x14ac:dyDescent="0.2"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</row>
    <row r="759" spans="11:23" x14ac:dyDescent="0.2"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</row>
    <row r="760" spans="11:23" x14ac:dyDescent="0.2"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</row>
    <row r="761" spans="11:23" x14ac:dyDescent="0.2"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</row>
    <row r="762" spans="11:23" x14ac:dyDescent="0.2"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</row>
    <row r="763" spans="11:23" x14ac:dyDescent="0.2"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</row>
    <row r="764" spans="11:23" x14ac:dyDescent="0.2"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</row>
    <row r="765" spans="11:23" x14ac:dyDescent="0.2"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</row>
    <row r="766" spans="11:23" x14ac:dyDescent="0.2"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</row>
    <row r="767" spans="11:23" x14ac:dyDescent="0.2"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</row>
    <row r="768" spans="11:23" x14ac:dyDescent="0.2"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</row>
    <row r="769" spans="11:23" x14ac:dyDescent="0.2"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</row>
    <row r="770" spans="11:23" x14ac:dyDescent="0.2"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</row>
    <row r="771" spans="11:23" x14ac:dyDescent="0.2"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</row>
    <row r="772" spans="11:23" x14ac:dyDescent="0.2"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</row>
    <row r="773" spans="11:23" x14ac:dyDescent="0.2"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</row>
    <row r="774" spans="11:23" x14ac:dyDescent="0.2"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</row>
    <row r="775" spans="11:23" x14ac:dyDescent="0.2"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</row>
    <row r="776" spans="11:23" x14ac:dyDescent="0.2"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</row>
    <row r="777" spans="11:23" x14ac:dyDescent="0.2"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</row>
    <row r="778" spans="11:23" x14ac:dyDescent="0.2"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</row>
    <row r="779" spans="11:23" x14ac:dyDescent="0.2"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</row>
    <row r="780" spans="11:23" x14ac:dyDescent="0.2"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</row>
    <row r="781" spans="11:23" x14ac:dyDescent="0.2"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</row>
    <row r="782" spans="11:23" x14ac:dyDescent="0.2"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</row>
    <row r="783" spans="11:23" x14ac:dyDescent="0.2"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</row>
    <row r="784" spans="11:23" x14ac:dyDescent="0.2"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</row>
    <row r="785" spans="11:23" x14ac:dyDescent="0.2"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</row>
    <row r="786" spans="11:23" x14ac:dyDescent="0.2"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</row>
    <row r="787" spans="11:23" x14ac:dyDescent="0.2"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</row>
    <row r="788" spans="11:23" x14ac:dyDescent="0.2"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</row>
    <row r="789" spans="11:23" x14ac:dyDescent="0.2"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</row>
    <row r="790" spans="11:23" x14ac:dyDescent="0.2"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</row>
    <row r="791" spans="11:23" x14ac:dyDescent="0.2"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</row>
    <row r="792" spans="11:23" x14ac:dyDescent="0.2"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</row>
    <row r="793" spans="11:23" x14ac:dyDescent="0.2"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</row>
    <row r="794" spans="11:23" x14ac:dyDescent="0.2"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</row>
    <row r="795" spans="11:23" x14ac:dyDescent="0.2"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</row>
    <row r="796" spans="11:23" x14ac:dyDescent="0.2"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</row>
    <row r="797" spans="11:23" x14ac:dyDescent="0.2"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</row>
    <row r="798" spans="11:23" x14ac:dyDescent="0.2"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</row>
    <row r="799" spans="11:23" x14ac:dyDescent="0.2"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</row>
    <row r="800" spans="11:23" x14ac:dyDescent="0.2"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</row>
    <row r="801" spans="11:23" x14ac:dyDescent="0.2"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</row>
    <row r="802" spans="11:23" x14ac:dyDescent="0.2"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</row>
    <row r="803" spans="11:23" x14ac:dyDescent="0.2"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</row>
    <row r="804" spans="11:23" x14ac:dyDescent="0.2"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</row>
    <row r="805" spans="11:23" x14ac:dyDescent="0.2"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</row>
    <row r="806" spans="11:23" x14ac:dyDescent="0.2"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</row>
    <row r="807" spans="11:23" x14ac:dyDescent="0.2"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</row>
    <row r="808" spans="11:23" x14ac:dyDescent="0.2"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</row>
    <row r="809" spans="11:23" x14ac:dyDescent="0.2"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</row>
    <row r="810" spans="11:23" x14ac:dyDescent="0.2"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</row>
    <row r="811" spans="11:23" x14ac:dyDescent="0.2"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</row>
    <row r="812" spans="11:23" x14ac:dyDescent="0.2"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</row>
    <row r="813" spans="11:23" x14ac:dyDescent="0.2"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</row>
    <row r="814" spans="11:23" x14ac:dyDescent="0.2"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</row>
    <row r="815" spans="11:23" x14ac:dyDescent="0.2"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</row>
    <row r="816" spans="11:23" x14ac:dyDescent="0.2"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</row>
    <row r="817" spans="11:23" x14ac:dyDescent="0.2"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</row>
    <row r="818" spans="11:23" x14ac:dyDescent="0.2"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</row>
    <row r="819" spans="11:23" x14ac:dyDescent="0.2"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</row>
    <row r="820" spans="11:23" x14ac:dyDescent="0.2"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</row>
    <row r="821" spans="11:23" x14ac:dyDescent="0.2"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</row>
    <row r="822" spans="11:23" x14ac:dyDescent="0.2"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</row>
    <row r="823" spans="11:23" x14ac:dyDescent="0.2"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</row>
    <row r="824" spans="11:23" x14ac:dyDescent="0.2"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</row>
    <row r="825" spans="11:23" x14ac:dyDescent="0.2"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</row>
    <row r="826" spans="11:23" x14ac:dyDescent="0.2"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</row>
    <row r="827" spans="11:23" x14ac:dyDescent="0.2"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</row>
    <row r="828" spans="11:23" x14ac:dyDescent="0.2"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</row>
    <row r="829" spans="11:23" x14ac:dyDescent="0.2"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</row>
    <row r="830" spans="11:23" x14ac:dyDescent="0.2"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</row>
    <row r="831" spans="11:23" x14ac:dyDescent="0.2"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</row>
    <row r="832" spans="11:23" x14ac:dyDescent="0.2"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</row>
    <row r="833" spans="11:23" x14ac:dyDescent="0.2"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</row>
    <row r="834" spans="11:23" x14ac:dyDescent="0.2"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</row>
    <row r="835" spans="11:23" x14ac:dyDescent="0.2"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</row>
    <row r="836" spans="11:23" x14ac:dyDescent="0.2"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</row>
    <row r="837" spans="11:23" x14ac:dyDescent="0.2"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</row>
    <row r="838" spans="11:23" x14ac:dyDescent="0.2"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</row>
    <row r="839" spans="11:23" x14ac:dyDescent="0.2"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</row>
    <row r="840" spans="11:23" x14ac:dyDescent="0.2"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</row>
    <row r="841" spans="11:23" x14ac:dyDescent="0.2"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</row>
    <row r="842" spans="11:23" x14ac:dyDescent="0.2"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</row>
    <row r="843" spans="11:23" x14ac:dyDescent="0.2"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</row>
    <row r="844" spans="11:23" x14ac:dyDescent="0.2"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</row>
    <row r="845" spans="11:23" x14ac:dyDescent="0.2"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</row>
    <row r="846" spans="11:23" x14ac:dyDescent="0.2"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</row>
    <row r="847" spans="11:23" x14ac:dyDescent="0.2"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</row>
    <row r="848" spans="11:23" x14ac:dyDescent="0.2"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</row>
    <row r="849" spans="11:23" x14ac:dyDescent="0.2"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</row>
    <row r="850" spans="11:23" x14ac:dyDescent="0.2"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</row>
    <row r="851" spans="11:23" x14ac:dyDescent="0.2"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</row>
    <row r="852" spans="11:23" x14ac:dyDescent="0.2"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</row>
    <row r="853" spans="11:23" x14ac:dyDescent="0.2"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</row>
    <row r="854" spans="11:23" x14ac:dyDescent="0.2"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</row>
    <row r="855" spans="11:23" x14ac:dyDescent="0.2"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</row>
    <row r="856" spans="11:23" x14ac:dyDescent="0.2"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</row>
    <row r="857" spans="11:23" x14ac:dyDescent="0.2"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</row>
    <row r="858" spans="11:23" x14ac:dyDescent="0.2"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</row>
    <row r="859" spans="11:23" x14ac:dyDescent="0.2"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</row>
    <row r="860" spans="11:23" x14ac:dyDescent="0.2"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</row>
    <row r="861" spans="11:23" x14ac:dyDescent="0.2"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</row>
    <row r="862" spans="11:23" x14ac:dyDescent="0.2"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</row>
    <row r="863" spans="11:23" x14ac:dyDescent="0.2"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</row>
    <row r="864" spans="11:23" x14ac:dyDescent="0.2"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</row>
    <row r="865" spans="11:23" x14ac:dyDescent="0.2"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</row>
    <row r="866" spans="11:23" x14ac:dyDescent="0.2"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</row>
    <row r="867" spans="11:23" x14ac:dyDescent="0.2"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</row>
    <row r="868" spans="11:23" x14ac:dyDescent="0.2"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</row>
    <row r="869" spans="11:23" x14ac:dyDescent="0.2"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</row>
    <row r="870" spans="11:23" x14ac:dyDescent="0.2"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</row>
    <row r="871" spans="11:23" x14ac:dyDescent="0.2"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</row>
    <row r="872" spans="11:23" x14ac:dyDescent="0.2"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</row>
    <row r="873" spans="11:23" x14ac:dyDescent="0.2"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</row>
    <row r="874" spans="11:23" x14ac:dyDescent="0.2"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</row>
    <row r="875" spans="11:23" x14ac:dyDescent="0.2"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</row>
    <row r="876" spans="11:23" x14ac:dyDescent="0.2"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</row>
    <row r="877" spans="11:23" x14ac:dyDescent="0.2"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</row>
    <row r="878" spans="11:23" x14ac:dyDescent="0.2"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</row>
    <row r="879" spans="11:23" x14ac:dyDescent="0.2"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</row>
    <row r="880" spans="11:23" x14ac:dyDescent="0.2"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</row>
    <row r="881" spans="11:23" x14ac:dyDescent="0.2"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</row>
    <row r="882" spans="11:23" x14ac:dyDescent="0.2"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</row>
    <row r="883" spans="11:23" x14ac:dyDescent="0.2"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</row>
    <row r="884" spans="11:23" x14ac:dyDescent="0.2"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</row>
    <row r="885" spans="11:23" x14ac:dyDescent="0.2"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</row>
    <row r="886" spans="11:23" x14ac:dyDescent="0.2"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</row>
    <row r="887" spans="11:23" x14ac:dyDescent="0.2"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</row>
    <row r="888" spans="11:23" x14ac:dyDescent="0.2"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</row>
    <row r="889" spans="11:23" x14ac:dyDescent="0.2"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</row>
    <row r="890" spans="11:23" x14ac:dyDescent="0.2"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</row>
    <row r="891" spans="11:23" x14ac:dyDescent="0.2"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</row>
    <row r="892" spans="11:23" x14ac:dyDescent="0.2"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</row>
    <row r="893" spans="11:23" x14ac:dyDescent="0.2"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</row>
    <row r="894" spans="11:23" x14ac:dyDescent="0.2"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</row>
    <row r="895" spans="11:23" x14ac:dyDescent="0.2"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</row>
    <row r="896" spans="11:23" x14ac:dyDescent="0.2"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</row>
    <row r="897" spans="11:23" x14ac:dyDescent="0.2"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</row>
    <row r="898" spans="11:23" x14ac:dyDescent="0.2"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</row>
    <row r="899" spans="11:23" x14ac:dyDescent="0.2"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</row>
    <row r="900" spans="11:23" x14ac:dyDescent="0.2"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</row>
    <row r="901" spans="11:23" x14ac:dyDescent="0.2"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</row>
    <row r="902" spans="11:23" x14ac:dyDescent="0.2"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</row>
    <row r="903" spans="11:23" x14ac:dyDescent="0.2"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</row>
    <row r="904" spans="11:23" x14ac:dyDescent="0.2"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</row>
    <row r="905" spans="11:23" x14ac:dyDescent="0.2"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</row>
    <row r="906" spans="11:23" x14ac:dyDescent="0.2"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</row>
    <row r="907" spans="11:23" x14ac:dyDescent="0.2"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</row>
    <row r="908" spans="11:23" x14ac:dyDescent="0.2"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</row>
    <row r="909" spans="11:23" x14ac:dyDescent="0.2"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</row>
    <row r="910" spans="11:23" x14ac:dyDescent="0.2"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</row>
    <row r="911" spans="11:23" x14ac:dyDescent="0.2"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</row>
    <row r="912" spans="11:23" x14ac:dyDescent="0.2"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</row>
    <row r="913" spans="11:23" x14ac:dyDescent="0.2"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</row>
    <row r="914" spans="11:23" x14ac:dyDescent="0.2"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</row>
    <row r="915" spans="11:23" x14ac:dyDescent="0.2"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</row>
    <row r="916" spans="11:23" x14ac:dyDescent="0.2"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</row>
    <row r="917" spans="11:23" x14ac:dyDescent="0.2"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</row>
    <row r="918" spans="11:23" x14ac:dyDescent="0.2"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</row>
    <row r="919" spans="11:23" x14ac:dyDescent="0.2"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</row>
    <row r="920" spans="11:23" x14ac:dyDescent="0.2"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</row>
    <row r="921" spans="11:23" x14ac:dyDescent="0.2"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</row>
    <row r="922" spans="11:23" x14ac:dyDescent="0.2"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</row>
    <row r="923" spans="11:23" x14ac:dyDescent="0.2"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</row>
    <row r="924" spans="11:23" x14ac:dyDescent="0.2"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</row>
    <row r="925" spans="11:23" x14ac:dyDescent="0.2"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</row>
    <row r="926" spans="11:23" x14ac:dyDescent="0.2"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</row>
    <row r="927" spans="11:23" x14ac:dyDescent="0.2"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</row>
    <row r="928" spans="11:23" x14ac:dyDescent="0.2"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</row>
    <row r="929" spans="11:23" x14ac:dyDescent="0.2"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</row>
    <row r="930" spans="11:23" x14ac:dyDescent="0.2"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</row>
    <row r="931" spans="11:23" x14ac:dyDescent="0.2"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</row>
    <row r="932" spans="11:23" x14ac:dyDescent="0.2"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</row>
    <row r="933" spans="11:23" x14ac:dyDescent="0.2"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</row>
    <row r="934" spans="11:23" x14ac:dyDescent="0.2"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</row>
    <row r="935" spans="11:23" x14ac:dyDescent="0.2"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</row>
    <row r="936" spans="11:23" x14ac:dyDescent="0.2"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</row>
    <row r="937" spans="11:23" x14ac:dyDescent="0.2"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</row>
    <row r="938" spans="11:23" x14ac:dyDescent="0.2"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</row>
    <row r="939" spans="11:23" x14ac:dyDescent="0.2"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</row>
    <row r="940" spans="11:23" x14ac:dyDescent="0.2"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</row>
    <row r="941" spans="11:23" x14ac:dyDescent="0.2"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</row>
    <row r="942" spans="11:23" x14ac:dyDescent="0.2"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</row>
    <row r="943" spans="11:23" x14ac:dyDescent="0.2"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</row>
    <row r="944" spans="11:23" x14ac:dyDescent="0.2"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</row>
    <row r="945" spans="11:23" x14ac:dyDescent="0.2"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</row>
    <row r="946" spans="11:23" x14ac:dyDescent="0.2"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</row>
    <row r="947" spans="11:23" x14ac:dyDescent="0.2"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</row>
    <row r="948" spans="11:23" x14ac:dyDescent="0.2"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</row>
    <row r="949" spans="11:23" x14ac:dyDescent="0.2"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</row>
    <row r="950" spans="11:23" x14ac:dyDescent="0.2"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</row>
    <row r="951" spans="11:23" x14ac:dyDescent="0.2"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</row>
    <row r="952" spans="11:23" x14ac:dyDescent="0.2"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</row>
    <row r="953" spans="11:23" x14ac:dyDescent="0.2"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</row>
    <row r="954" spans="11:23" x14ac:dyDescent="0.2"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</row>
    <row r="955" spans="11:23" x14ac:dyDescent="0.2"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</row>
    <row r="956" spans="11:23" x14ac:dyDescent="0.2"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</row>
    <row r="957" spans="11:23" x14ac:dyDescent="0.2"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</row>
    <row r="958" spans="11:23" x14ac:dyDescent="0.2"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</row>
    <row r="959" spans="11:23" x14ac:dyDescent="0.2"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</row>
    <row r="960" spans="11:23" x14ac:dyDescent="0.2"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</row>
    <row r="961" spans="11:23" x14ac:dyDescent="0.2"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</row>
    <row r="962" spans="11:23" x14ac:dyDescent="0.2"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</row>
    <row r="963" spans="11:23" x14ac:dyDescent="0.2"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</row>
    <row r="964" spans="11:23" x14ac:dyDescent="0.2"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</row>
    <row r="965" spans="11:23" x14ac:dyDescent="0.2"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</row>
    <row r="966" spans="11:23" x14ac:dyDescent="0.2"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</row>
    <row r="967" spans="11:23" x14ac:dyDescent="0.2"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</row>
    <row r="968" spans="11:23" x14ac:dyDescent="0.2"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</row>
    <row r="969" spans="11:23" x14ac:dyDescent="0.2"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</row>
    <row r="970" spans="11:23" x14ac:dyDescent="0.2"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</row>
    <row r="971" spans="11:23" x14ac:dyDescent="0.2"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</row>
    <row r="972" spans="11:23" x14ac:dyDescent="0.2"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</row>
    <row r="973" spans="11:23" x14ac:dyDescent="0.2"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</row>
    <row r="974" spans="11:23" x14ac:dyDescent="0.2"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</row>
    <row r="975" spans="11:23" x14ac:dyDescent="0.2"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</row>
    <row r="976" spans="11:23" x14ac:dyDescent="0.2"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</row>
    <row r="977" spans="11:23" x14ac:dyDescent="0.2"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</row>
    <row r="978" spans="11:23" x14ac:dyDescent="0.2"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</row>
    <row r="979" spans="11:23" x14ac:dyDescent="0.2"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</row>
    <row r="980" spans="11:23" x14ac:dyDescent="0.2"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</row>
    <row r="981" spans="11:23" x14ac:dyDescent="0.2"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</row>
    <row r="982" spans="11:23" x14ac:dyDescent="0.2"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</row>
    <row r="983" spans="11:23" x14ac:dyDescent="0.2"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</row>
    <row r="984" spans="11:23" x14ac:dyDescent="0.2"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</row>
    <row r="985" spans="11:23" x14ac:dyDescent="0.2"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</row>
    <row r="986" spans="11:23" x14ac:dyDescent="0.2"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</row>
    <row r="987" spans="11:23" x14ac:dyDescent="0.2"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</row>
    <row r="988" spans="11:23" x14ac:dyDescent="0.2"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</row>
    <row r="989" spans="11:23" x14ac:dyDescent="0.2"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</row>
    <row r="990" spans="11:23" x14ac:dyDescent="0.2"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</row>
    <row r="991" spans="11:23" x14ac:dyDescent="0.2"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</row>
    <row r="992" spans="11:23" x14ac:dyDescent="0.2"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</row>
    <row r="993" spans="11:23" x14ac:dyDescent="0.2"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</row>
    <row r="994" spans="11:23" x14ac:dyDescent="0.2"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</row>
    <row r="995" spans="11:23" x14ac:dyDescent="0.2"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</row>
    <row r="996" spans="11:23" x14ac:dyDescent="0.2"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</row>
    <row r="997" spans="11:23" x14ac:dyDescent="0.2"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</row>
    <row r="998" spans="11:23" x14ac:dyDescent="0.2"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</row>
    <row r="999" spans="11:23" x14ac:dyDescent="0.2"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</row>
    <row r="1000" spans="11:23" x14ac:dyDescent="0.2"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</row>
    <row r="1001" spans="11:23" x14ac:dyDescent="0.2"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</row>
    <row r="1002" spans="11:23" x14ac:dyDescent="0.2"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</row>
    <row r="1003" spans="11:23" x14ac:dyDescent="0.2"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</row>
    <row r="1004" spans="11:23" x14ac:dyDescent="0.2"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</row>
    <row r="1005" spans="11:23" x14ac:dyDescent="0.2"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</row>
    <row r="1006" spans="11:23" x14ac:dyDescent="0.2"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</row>
    <row r="1007" spans="11:23" x14ac:dyDescent="0.2"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</row>
    <row r="1008" spans="11:23" x14ac:dyDescent="0.2"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</row>
    <row r="1009" spans="11:23" x14ac:dyDescent="0.2"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</row>
    <row r="1010" spans="11:23" x14ac:dyDescent="0.2"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</row>
    <row r="1011" spans="11:23" x14ac:dyDescent="0.2"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</row>
    <row r="1012" spans="11:23" x14ac:dyDescent="0.2"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</row>
    <row r="1013" spans="11:23" x14ac:dyDescent="0.2"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</row>
    <row r="1014" spans="11:23" x14ac:dyDescent="0.2"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</row>
    <row r="1015" spans="11:23" x14ac:dyDescent="0.2"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</row>
    <row r="1016" spans="11:23" x14ac:dyDescent="0.2"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</row>
    <row r="1017" spans="11:23" x14ac:dyDescent="0.2"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</row>
    <row r="1018" spans="11:23" x14ac:dyDescent="0.2"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</row>
    <row r="1019" spans="11:23" x14ac:dyDescent="0.2"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</row>
    <row r="1020" spans="11:23" x14ac:dyDescent="0.2"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</row>
    <row r="1021" spans="11:23" x14ac:dyDescent="0.2"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</row>
    <row r="1022" spans="11:23" x14ac:dyDescent="0.2"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</row>
    <row r="1023" spans="11:23" x14ac:dyDescent="0.2"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</row>
    <row r="1024" spans="11:23" x14ac:dyDescent="0.2"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</row>
    <row r="1025" spans="11:23" x14ac:dyDescent="0.2"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</row>
    <row r="1026" spans="11:23" x14ac:dyDescent="0.2"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</row>
    <row r="1027" spans="11:23" x14ac:dyDescent="0.2"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</row>
    <row r="1028" spans="11:23" x14ac:dyDescent="0.2"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</row>
    <row r="1029" spans="11:23" x14ac:dyDescent="0.2"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</row>
    <row r="1030" spans="11:23" x14ac:dyDescent="0.2"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</row>
    <row r="1031" spans="11:23" x14ac:dyDescent="0.2"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</row>
    <row r="1032" spans="11:23" x14ac:dyDescent="0.2"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</row>
    <row r="1033" spans="11:23" x14ac:dyDescent="0.2"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</row>
    <row r="1034" spans="11:23" x14ac:dyDescent="0.2"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</row>
    <row r="1035" spans="11:23" x14ac:dyDescent="0.2"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</row>
    <row r="1036" spans="11:23" x14ac:dyDescent="0.2"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</row>
    <row r="1037" spans="11:23" x14ac:dyDescent="0.2"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</row>
    <row r="1038" spans="11:23" x14ac:dyDescent="0.2"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</row>
    <row r="1039" spans="11:23" x14ac:dyDescent="0.2"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</row>
    <row r="1040" spans="11:23" x14ac:dyDescent="0.2"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</row>
    <row r="1041" spans="11:23" x14ac:dyDescent="0.2"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</row>
    <row r="1042" spans="11:23" x14ac:dyDescent="0.2"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</row>
    <row r="1043" spans="11:23" x14ac:dyDescent="0.2"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</row>
    <row r="1044" spans="11:23" x14ac:dyDescent="0.2"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</row>
    <row r="1045" spans="11:23" x14ac:dyDescent="0.2"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</row>
    <row r="1046" spans="11:23" x14ac:dyDescent="0.2"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</row>
    <row r="1047" spans="11:23" x14ac:dyDescent="0.2"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</row>
    <row r="1048" spans="11:23" x14ac:dyDescent="0.2"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</row>
    <row r="1049" spans="11:23" x14ac:dyDescent="0.2"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</row>
    <row r="1050" spans="11:23" x14ac:dyDescent="0.2"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</row>
    <row r="1051" spans="11:23" x14ac:dyDescent="0.2"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</row>
    <row r="1052" spans="11:23" x14ac:dyDescent="0.2"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</row>
    <row r="1053" spans="11:23" x14ac:dyDescent="0.2"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</row>
    <row r="1054" spans="11:23" x14ac:dyDescent="0.2"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  <c r="W1054" s="47"/>
    </row>
    <row r="1055" spans="11:23" x14ac:dyDescent="0.2"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  <c r="W1055" s="47"/>
    </row>
    <row r="1056" spans="11:23" x14ac:dyDescent="0.2"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  <c r="W1056" s="47"/>
    </row>
    <row r="1057" spans="11:23" x14ac:dyDescent="0.2"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  <c r="W1057" s="47"/>
    </row>
    <row r="1058" spans="11:23" x14ac:dyDescent="0.2"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  <c r="W1058" s="47"/>
    </row>
    <row r="1059" spans="11:23" x14ac:dyDescent="0.2"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  <c r="W1059" s="47"/>
    </row>
    <row r="1060" spans="11:23" x14ac:dyDescent="0.2"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  <c r="W1060" s="47"/>
    </row>
    <row r="1061" spans="11:23" x14ac:dyDescent="0.2"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  <c r="W1061" s="47"/>
    </row>
    <row r="1062" spans="11:23" x14ac:dyDescent="0.2"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  <c r="W1062" s="47"/>
    </row>
    <row r="1063" spans="11:23" x14ac:dyDescent="0.2"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  <c r="W1063" s="47"/>
    </row>
    <row r="1064" spans="11:23" x14ac:dyDescent="0.2"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  <c r="W1064" s="47"/>
    </row>
    <row r="1065" spans="11:23" x14ac:dyDescent="0.2"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  <c r="W1065" s="47"/>
    </row>
    <row r="1066" spans="11:23" x14ac:dyDescent="0.2"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  <c r="W1066" s="47"/>
    </row>
    <row r="1067" spans="11:23" x14ac:dyDescent="0.2"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  <c r="W1067" s="47"/>
    </row>
    <row r="1068" spans="11:23" x14ac:dyDescent="0.2"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  <c r="W1068" s="47"/>
    </row>
    <row r="1069" spans="11:23" x14ac:dyDescent="0.2"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  <c r="W1069" s="47"/>
    </row>
    <row r="1070" spans="11:23" x14ac:dyDescent="0.2"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  <c r="W1070" s="47"/>
    </row>
    <row r="1071" spans="11:23" x14ac:dyDescent="0.2"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  <c r="W1071" s="47"/>
    </row>
    <row r="1072" spans="11:23" x14ac:dyDescent="0.2"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</row>
    <row r="1073" spans="11:23" x14ac:dyDescent="0.2"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  <c r="W1073" s="47"/>
    </row>
    <row r="1074" spans="11:23" x14ac:dyDescent="0.2"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  <c r="W1074" s="47"/>
    </row>
    <row r="1075" spans="11:23" x14ac:dyDescent="0.2"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  <c r="W1075" s="47"/>
    </row>
    <row r="1076" spans="11:23" x14ac:dyDescent="0.2"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  <c r="W1076" s="47"/>
    </row>
    <row r="1077" spans="11:23" x14ac:dyDescent="0.2"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  <c r="W1077" s="47"/>
    </row>
    <row r="1078" spans="11:23" x14ac:dyDescent="0.2"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  <c r="W1078" s="47"/>
    </row>
    <row r="1079" spans="11:23" x14ac:dyDescent="0.2"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  <c r="W1079" s="47"/>
    </row>
    <row r="1080" spans="11:23" x14ac:dyDescent="0.2"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  <c r="W1080" s="47"/>
    </row>
    <row r="1081" spans="11:23" x14ac:dyDescent="0.2"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  <c r="W1081" s="47"/>
    </row>
    <row r="1082" spans="11:23" x14ac:dyDescent="0.2"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  <c r="W1082" s="47"/>
    </row>
    <row r="1083" spans="11:23" x14ac:dyDescent="0.2"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  <c r="W1083" s="47"/>
    </row>
    <row r="1084" spans="11:23" x14ac:dyDescent="0.2"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  <c r="W1084" s="47"/>
    </row>
    <row r="1085" spans="11:23" x14ac:dyDescent="0.2"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  <c r="W1085" s="47"/>
    </row>
    <row r="1086" spans="11:23" x14ac:dyDescent="0.2"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  <c r="W1086" s="47"/>
    </row>
    <row r="1087" spans="11:23" x14ac:dyDescent="0.2"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  <c r="V1087" s="47"/>
      <c r="W1087" s="47"/>
    </row>
    <row r="1088" spans="11:23" x14ac:dyDescent="0.2"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  <c r="W1088" s="47"/>
    </row>
    <row r="1089" spans="11:23" x14ac:dyDescent="0.2"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  <c r="W1089" s="47"/>
    </row>
    <row r="1090" spans="11:23" x14ac:dyDescent="0.2"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  <c r="V1090" s="47"/>
      <c r="W1090" s="47"/>
    </row>
    <row r="1091" spans="11:23" x14ac:dyDescent="0.2"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  <c r="V1091" s="47"/>
      <c r="W1091" s="47"/>
    </row>
    <row r="1092" spans="11:23" x14ac:dyDescent="0.2"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  <c r="W1092" s="47"/>
    </row>
    <row r="1093" spans="11:23" x14ac:dyDescent="0.2"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  <c r="W1093" s="47"/>
    </row>
    <row r="1094" spans="11:23" x14ac:dyDescent="0.2">
      <c r="K1094" s="47"/>
      <c r="L1094" s="47"/>
      <c r="M1094" s="47"/>
      <c r="N1094" s="47"/>
      <c r="O1094" s="47"/>
      <c r="P1094" s="47"/>
      <c r="Q1094" s="47"/>
      <c r="R1094" s="47"/>
      <c r="S1094" s="47"/>
      <c r="T1094" s="47"/>
      <c r="U1094" s="47"/>
      <c r="V1094" s="47"/>
      <c r="W1094" s="47"/>
    </row>
    <row r="1095" spans="11:23" x14ac:dyDescent="0.2">
      <c r="K1095" s="47"/>
      <c r="L1095" s="47"/>
      <c r="M1095" s="47"/>
      <c r="N1095" s="47"/>
      <c r="O1095" s="47"/>
      <c r="P1095" s="47"/>
      <c r="Q1095" s="47"/>
      <c r="R1095" s="47"/>
      <c r="S1095" s="47"/>
      <c r="T1095" s="47"/>
      <c r="U1095" s="47"/>
      <c r="V1095" s="47"/>
      <c r="W1095" s="47"/>
    </row>
    <row r="1096" spans="11:23" x14ac:dyDescent="0.2">
      <c r="K1096" s="47"/>
      <c r="L1096" s="47"/>
      <c r="M1096" s="47"/>
      <c r="N1096" s="47"/>
      <c r="O1096" s="47"/>
      <c r="P1096" s="47"/>
      <c r="Q1096" s="47"/>
      <c r="R1096" s="47"/>
      <c r="S1096" s="47"/>
      <c r="T1096" s="47"/>
      <c r="U1096" s="47"/>
      <c r="V1096" s="47"/>
      <c r="W1096" s="47"/>
    </row>
    <row r="1097" spans="11:23" x14ac:dyDescent="0.2">
      <c r="K1097" s="47"/>
      <c r="L1097" s="47"/>
      <c r="M1097" s="47"/>
      <c r="N1097" s="47"/>
      <c r="O1097" s="47"/>
      <c r="P1097" s="47"/>
      <c r="Q1097" s="47"/>
      <c r="R1097" s="47"/>
      <c r="S1097" s="47"/>
      <c r="T1097" s="47"/>
      <c r="U1097" s="47"/>
      <c r="V1097" s="47"/>
      <c r="W1097" s="47"/>
    </row>
    <row r="1098" spans="11:23" x14ac:dyDescent="0.2">
      <c r="K1098" s="47"/>
      <c r="L1098" s="47"/>
      <c r="M1098" s="47"/>
      <c r="N1098" s="47"/>
      <c r="O1098" s="47"/>
      <c r="P1098" s="47"/>
      <c r="Q1098" s="47"/>
      <c r="R1098" s="47"/>
      <c r="S1098" s="47"/>
      <c r="T1098" s="47"/>
      <c r="U1098" s="47"/>
      <c r="V1098" s="47"/>
      <c r="W1098" s="47"/>
    </row>
    <row r="1099" spans="11:23" x14ac:dyDescent="0.2">
      <c r="K1099" s="47"/>
      <c r="L1099" s="47"/>
      <c r="M1099" s="47"/>
      <c r="N1099" s="47"/>
      <c r="O1099" s="47"/>
      <c r="P1099" s="47"/>
      <c r="Q1099" s="47"/>
      <c r="R1099" s="47"/>
      <c r="S1099" s="47"/>
      <c r="T1099" s="47"/>
      <c r="U1099" s="47"/>
      <c r="V1099" s="47"/>
      <c r="W1099" s="47"/>
    </row>
    <row r="1100" spans="11:23" x14ac:dyDescent="0.2">
      <c r="K1100" s="47"/>
      <c r="L1100" s="47"/>
      <c r="M1100" s="47"/>
      <c r="N1100" s="47"/>
      <c r="O1100" s="47"/>
      <c r="P1100" s="47"/>
      <c r="Q1100" s="47"/>
      <c r="R1100" s="47"/>
      <c r="S1100" s="47"/>
      <c r="T1100" s="47"/>
      <c r="U1100" s="47"/>
      <c r="V1100" s="47"/>
      <c r="W1100" s="47"/>
    </row>
    <row r="1101" spans="11:23" x14ac:dyDescent="0.2">
      <c r="K1101" s="47"/>
      <c r="L1101" s="47"/>
      <c r="M1101" s="47"/>
      <c r="N1101" s="47"/>
      <c r="O1101" s="47"/>
      <c r="P1101" s="47"/>
      <c r="Q1101" s="47"/>
      <c r="R1101" s="47"/>
      <c r="S1101" s="47"/>
      <c r="T1101" s="47"/>
      <c r="U1101" s="47"/>
      <c r="V1101" s="47"/>
      <c r="W1101" s="47"/>
    </row>
    <row r="1102" spans="11:23" x14ac:dyDescent="0.2">
      <c r="K1102" s="47"/>
      <c r="L1102" s="47"/>
      <c r="M1102" s="47"/>
      <c r="N1102" s="47"/>
      <c r="O1102" s="47"/>
      <c r="P1102" s="47"/>
      <c r="Q1102" s="47"/>
      <c r="R1102" s="47"/>
      <c r="S1102" s="47"/>
      <c r="T1102" s="47"/>
      <c r="U1102" s="47"/>
      <c r="V1102" s="47"/>
      <c r="W1102" s="47"/>
    </row>
    <row r="1103" spans="11:23" x14ac:dyDescent="0.2">
      <c r="K1103" s="47"/>
      <c r="L1103" s="47"/>
      <c r="M1103" s="47"/>
      <c r="N1103" s="47"/>
      <c r="O1103" s="47"/>
      <c r="P1103" s="47"/>
      <c r="Q1103" s="47"/>
      <c r="R1103" s="47"/>
      <c r="S1103" s="47"/>
      <c r="T1103" s="47"/>
      <c r="U1103" s="47"/>
      <c r="V1103" s="47"/>
      <c r="W1103" s="47"/>
    </row>
    <row r="1104" spans="11:23" x14ac:dyDescent="0.2">
      <c r="K1104" s="47"/>
      <c r="L1104" s="47"/>
      <c r="M1104" s="47"/>
      <c r="N1104" s="47"/>
      <c r="O1104" s="47"/>
      <c r="P1104" s="47"/>
      <c r="Q1104" s="47"/>
      <c r="R1104" s="47"/>
      <c r="S1104" s="47"/>
      <c r="T1104" s="47"/>
      <c r="U1104" s="47"/>
      <c r="V1104" s="47"/>
      <c r="W1104" s="47"/>
    </row>
    <row r="1105" spans="11:23" x14ac:dyDescent="0.2">
      <c r="K1105" s="47"/>
      <c r="L1105" s="47"/>
      <c r="M1105" s="47"/>
      <c r="N1105" s="47"/>
      <c r="O1105" s="47"/>
      <c r="P1105" s="47"/>
      <c r="Q1105" s="47"/>
      <c r="R1105" s="47"/>
      <c r="S1105" s="47"/>
      <c r="T1105" s="47"/>
      <c r="U1105" s="47"/>
      <c r="V1105" s="47"/>
      <c r="W1105" s="47"/>
    </row>
    <row r="1106" spans="11:23" x14ac:dyDescent="0.2">
      <c r="K1106" s="47"/>
      <c r="L1106" s="47"/>
      <c r="M1106" s="47"/>
      <c r="N1106" s="47"/>
      <c r="O1106" s="47"/>
      <c r="P1106" s="47"/>
      <c r="Q1106" s="47"/>
      <c r="R1106" s="47"/>
      <c r="S1106" s="47"/>
      <c r="T1106" s="47"/>
      <c r="U1106" s="47"/>
      <c r="V1106" s="47"/>
      <c r="W1106" s="47"/>
    </row>
    <row r="1107" spans="11:23" x14ac:dyDescent="0.2">
      <c r="K1107" s="47"/>
      <c r="L1107" s="47"/>
      <c r="M1107" s="47"/>
      <c r="N1107" s="47"/>
      <c r="O1107" s="47"/>
      <c r="P1107" s="47"/>
      <c r="Q1107" s="47"/>
      <c r="R1107" s="47"/>
      <c r="S1107" s="47"/>
      <c r="T1107" s="47"/>
      <c r="U1107" s="47"/>
      <c r="V1107" s="47"/>
      <c r="W1107" s="47"/>
    </row>
    <row r="1108" spans="11:23" x14ac:dyDescent="0.2">
      <c r="K1108" s="47"/>
      <c r="L1108" s="47"/>
      <c r="M1108" s="47"/>
      <c r="N1108" s="47"/>
      <c r="O1108" s="47"/>
      <c r="P1108" s="47"/>
      <c r="Q1108" s="47"/>
      <c r="R1108" s="47"/>
      <c r="S1108" s="47"/>
      <c r="T1108" s="47"/>
      <c r="U1108" s="47"/>
      <c r="V1108" s="47"/>
      <c r="W1108" s="47"/>
    </row>
    <row r="1109" spans="11:23" x14ac:dyDescent="0.2">
      <c r="K1109" s="47"/>
      <c r="L1109" s="47"/>
      <c r="M1109" s="47"/>
      <c r="N1109" s="47"/>
      <c r="O1109" s="47"/>
      <c r="P1109" s="47"/>
      <c r="Q1109" s="47"/>
      <c r="R1109" s="47"/>
      <c r="S1109" s="47"/>
      <c r="T1109" s="47"/>
      <c r="U1109" s="47"/>
      <c r="V1109" s="47"/>
      <c r="W1109" s="47"/>
    </row>
    <row r="1110" spans="11:23" x14ac:dyDescent="0.2">
      <c r="K1110" s="47"/>
      <c r="L1110" s="47"/>
      <c r="M1110" s="47"/>
      <c r="N1110" s="47"/>
      <c r="O1110" s="47"/>
      <c r="P1110" s="47"/>
      <c r="Q1110" s="47"/>
      <c r="R1110" s="47"/>
      <c r="S1110" s="47"/>
      <c r="T1110" s="47"/>
      <c r="U1110" s="47"/>
      <c r="V1110" s="47"/>
      <c r="W1110" s="47"/>
    </row>
    <row r="1111" spans="11:23" x14ac:dyDescent="0.2">
      <c r="K1111" s="47"/>
      <c r="L1111" s="47"/>
      <c r="M1111" s="47"/>
      <c r="N1111" s="47"/>
      <c r="O1111" s="47"/>
      <c r="P1111" s="47"/>
      <c r="Q1111" s="47"/>
      <c r="R1111" s="47"/>
      <c r="S1111" s="47"/>
      <c r="T1111" s="47"/>
      <c r="U1111" s="47"/>
      <c r="V1111" s="47"/>
      <c r="W1111" s="47"/>
    </row>
    <row r="1112" spans="11:23" x14ac:dyDescent="0.2">
      <c r="K1112" s="47"/>
      <c r="L1112" s="47"/>
      <c r="M1112" s="47"/>
      <c r="N1112" s="47"/>
      <c r="O1112" s="47"/>
      <c r="P1112" s="47"/>
      <c r="Q1112" s="47"/>
      <c r="R1112" s="47"/>
      <c r="S1112" s="47"/>
      <c r="T1112" s="47"/>
      <c r="U1112" s="47"/>
      <c r="V1112" s="47"/>
      <c r="W1112" s="47"/>
    </row>
    <row r="1113" spans="11:23" x14ac:dyDescent="0.2">
      <c r="K1113" s="47"/>
      <c r="L1113" s="47"/>
      <c r="M1113" s="47"/>
      <c r="N1113" s="47"/>
      <c r="O1113" s="47"/>
      <c r="P1113" s="47"/>
      <c r="Q1113" s="47"/>
      <c r="R1113" s="47"/>
      <c r="S1113" s="47"/>
      <c r="T1113" s="47"/>
      <c r="U1113" s="47"/>
      <c r="V1113" s="47"/>
      <c r="W1113" s="47"/>
    </row>
    <row r="1114" spans="11:23" x14ac:dyDescent="0.2">
      <c r="K1114" s="47"/>
      <c r="L1114" s="47"/>
      <c r="M1114" s="47"/>
      <c r="N1114" s="47"/>
      <c r="O1114" s="47"/>
      <c r="P1114" s="47"/>
      <c r="Q1114" s="47"/>
      <c r="R1114" s="47"/>
      <c r="S1114" s="47"/>
      <c r="T1114" s="47"/>
      <c r="U1114" s="47"/>
      <c r="V1114" s="47"/>
      <c r="W1114" s="47"/>
    </row>
    <row r="1115" spans="11:23" x14ac:dyDescent="0.2">
      <c r="K1115" s="47"/>
      <c r="L1115" s="47"/>
      <c r="M1115" s="47"/>
      <c r="N1115" s="47"/>
      <c r="O1115" s="47"/>
      <c r="P1115" s="47"/>
      <c r="Q1115" s="47"/>
      <c r="R1115" s="47"/>
      <c r="S1115" s="47"/>
      <c r="T1115" s="47"/>
      <c r="U1115" s="47"/>
      <c r="V1115" s="47"/>
      <c r="W1115" s="47"/>
    </row>
    <row r="1116" spans="11:23" x14ac:dyDescent="0.2">
      <c r="K1116" s="47"/>
      <c r="L1116" s="47"/>
      <c r="M1116" s="47"/>
      <c r="N1116" s="47"/>
      <c r="O1116" s="47"/>
      <c r="P1116" s="47"/>
      <c r="Q1116" s="47"/>
      <c r="R1116" s="47"/>
      <c r="S1116" s="47"/>
      <c r="T1116" s="47"/>
      <c r="U1116" s="47"/>
      <c r="V1116" s="47"/>
      <c r="W1116" s="47"/>
    </row>
    <row r="1117" spans="11:23" x14ac:dyDescent="0.2">
      <c r="K1117" s="47"/>
      <c r="L1117" s="47"/>
      <c r="M1117" s="47"/>
      <c r="N1117" s="47"/>
      <c r="O1117" s="47"/>
      <c r="P1117" s="47"/>
      <c r="Q1117" s="47"/>
      <c r="R1117" s="47"/>
      <c r="S1117" s="47"/>
      <c r="T1117" s="47"/>
      <c r="U1117" s="47"/>
      <c r="V1117" s="47"/>
      <c r="W1117" s="47"/>
    </row>
    <row r="1118" spans="11:23" x14ac:dyDescent="0.2">
      <c r="K1118" s="47"/>
      <c r="L1118" s="47"/>
      <c r="M1118" s="47"/>
      <c r="N1118" s="47"/>
      <c r="O1118" s="47"/>
      <c r="P1118" s="47"/>
      <c r="Q1118" s="47"/>
      <c r="R1118" s="47"/>
      <c r="S1118" s="47"/>
      <c r="T1118" s="47"/>
      <c r="U1118" s="47"/>
      <c r="V1118" s="47"/>
      <c r="W1118" s="47"/>
    </row>
    <row r="1119" spans="11:23" x14ac:dyDescent="0.2">
      <c r="K1119" s="47"/>
      <c r="L1119" s="47"/>
      <c r="M1119" s="47"/>
      <c r="N1119" s="47"/>
      <c r="O1119" s="47"/>
      <c r="P1119" s="47"/>
      <c r="Q1119" s="47"/>
      <c r="R1119" s="47"/>
      <c r="S1119" s="47"/>
      <c r="T1119" s="47"/>
      <c r="U1119" s="47"/>
      <c r="V1119" s="47"/>
      <c r="W1119" s="47"/>
    </row>
    <row r="1120" spans="11:23" x14ac:dyDescent="0.2">
      <c r="K1120" s="47"/>
      <c r="L1120" s="47"/>
      <c r="M1120" s="47"/>
      <c r="N1120" s="47"/>
      <c r="O1120" s="47"/>
      <c r="P1120" s="47"/>
      <c r="Q1120" s="47"/>
      <c r="R1120" s="47"/>
      <c r="S1120" s="47"/>
      <c r="T1120" s="47"/>
      <c r="U1120" s="47"/>
      <c r="V1120" s="47"/>
      <c r="W1120" s="47"/>
    </row>
    <row r="1121" spans="11:23" x14ac:dyDescent="0.2">
      <c r="K1121" s="47"/>
      <c r="L1121" s="47"/>
      <c r="M1121" s="47"/>
      <c r="N1121" s="47"/>
      <c r="O1121" s="47"/>
      <c r="P1121" s="47"/>
      <c r="Q1121" s="47"/>
      <c r="R1121" s="47"/>
      <c r="S1121" s="47"/>
      <c r="T1121" s="47"/>
      <c r="U1121" s="47"/>
      <c r="V1121" s="47"/>
      <c r="W1121" s="47"/>
    </row>
    <row r="1122" spans="11:23" x14ac:dyDescent="0.2">
      <c r="K1122" s="47"/>
      <c r="L1122" s="47"/>
      <c r="M1122" s="47"/>
      <c r="N1122" s="47"/>
      <c r="O1122" s="47"/>
      <c r="P1122" s="47"/>
      <c r="Q1122" s="47"/>
      <c r="R1122" s="47"/>
      <c r="S1122" s="47"/>
      <c r="T1122" s="47"/>
      <c r="U1122" s="47"/>
      <c r="V1122" s="47"/>
      <c r="W1122" s="47"/>
    </row>
    <row r="1123" spans="11:23" x14ac:dyDescent="0.2">
      <c r="K1123" s="47"/>
      <c r="L1123" s="47"/>
      <c r="M1123" s="47"/>
      <c r="N1123" s="47"/>
      <c r="O1123" s="47"/>
      <c r="P1123" s="47"/>
      <c r="Q1123" s="47"/>
      <c r="R1123" s="47"/>
      <c r="S1123" s="47"/>
      <c r="T1123" s="47"/>
      <c r="U1123" s="47"/>
      <c r="V1123" s="47"/>
      <c r="W1123" s="47"/>
    </row>
    <row r="1124" spans="11:23" x14ac:dyDescent="0.2">
      <c r="K1124" s="47"/>
      <c r="L1124" s="47"/>
      <c r="M1124" s="47"/>
      <c r="N1124" s="47"/>
      <c r="O1124" s="47"/>
      <c r="P1124" s="47"/>
      <c r="Q1124" s="47"/>
      <c r="R1124" s="47"/>
      <c r="S1124" s="47"/>
      <c r="T1124" s="47"/>
      <c r="U1124" s="47"/>
      <c r="V1124" s="47"/>
      <c r="W1124" s="47"/>
    </row>
    <row r="1125" spans="11:23" x14ac:dyDescent="0.2">
      <c r="K1125" s="47"/>
      <c r="L1125" s="47"/>
      <c r="M1125" s="47"/>
      <c r="N1125" s="47"/>
      <c r="O1125" s="47"/>
      <c r="P1125" s="47"/>
      <c r="Q1125" s="47"/>
      <c r="R1125" s="47"/>
      <c r="S1125" s="47"/>
      <c r="T1125" s="47"/>
      <c r="U1125" s="47"/>
      <c r="V1125" s="47"/>
      <c r="W1125" s="47"/>
    </row>
    <row r="1126" spans="11:23" x14ac:dyDescent="0.2">
      <c r="K1126" s="47"/>
      <c r="L1126" s="47"/>
      <c r="M1126" s="47"/>
      <c r="N1126" s="47"/>
      <c r="O1126" s="47"/>
      <c r="P1126" s="47"/>
      <c r="Q1126" s="47"/>
      <c r="R1126" s="47"/>
      <c r="S1126" s="47"/>
      <c r="T1126" s="47"/>
      <c r="U1126" s="47"/>
      <c r="V1126" s="47"/>
      <c r="W1126" s="47"/>
    </row>
    <row r="1127" spans="11:23" x14ac:dyDescent="0.2">
      <c r="K1127" s="47"/>
      <c r="L1127" s="47"/>
      <c r="M1127" s="47"/>
      <c r="N1127" s="47"/>
      <c r="O1127" s="47"/>
      <c r="P1127" s="47"/>
      <c r="Q1127" s="47"/>
      <c r="R1127" s="47"/>
      <c r="S1127" s="47"/>
      <c r="T1127" s="47"/>
      <c r="U1127" s="47"/>
      <c r="V1127" s="47"/>
      <c r="W1127" s="47"/>
    </row>
    <row r="1128" spans="11:23" x14ac:dyDescent="0.2">
      <c r="K1128" s="47"/>
      <c r="L1128" s="47"/>
      <c r="M1128" s="47"/>
      <c r="N1128" s="47"/>
      <c r="O1128" s="47"/>
      <c r="P1128" s="47"/>
      <c r="Q1128" s="47"/>
      <c r="R1128" s="47"/>
      <c r="S1128" s="47"/>
      <c r="T1128" s="47"/>
      <c r="U1128" s="47"/>
      <c r="V1128" s="47"/>
      <c r="W1128" s="47"/>
    </row>
    <row r="1129" spans="11:23" x14ac:dyDescent="0.2"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  <c r="V1129" s="47"/>
      <c r="W1129" s="47"/>
    </row>
    <row r="1130" spans="11:23" x14ac:dyDescent="0.2">
      <c r="K1130" s="47"/>
      <c r="L1130" s="47"/>
      <c r="M1130" s="47"/>
      <c r="N1130" s="47"/>
      <c r="O1130" s="47"/>
      <c r="P1130" s="47"/>
      <c r="Q1130" s="47"/>
      <c r="R1130" s="47"/>
      <c r="S1130" s="47"/>
      <c r="T1130" s="47"/>
      <c r="U1130" s="47"/>
      <c r="V1130" s="47"/>
      <c r="W1130" s="47"/>
    </row>
    <row r="1131" spans="11:23" x14ac:dyDescent="0.2">
      <c r="K1131" s="47"/>
      <c r="L1131" s="47"/>
      <c r="M1131" s="47"/>
      <c r="N1131" s="47"/>
      <c r="O1131" s="47"/>
      <c r="P1131" s="47"/>
      <c r="Q1131" s="47"/>
      <c r="R1131" s="47"/>
      <c r="S1131" s="47"/>
      <c r="T1131" s="47"/>
      <c r="U1131" s="47"/>
      <c r="V1131" s="47"/>
      <c r="W1131" s="47"/>
    </row>
    <row r="1132" spans="11:23" x14ac:dyDescent="0.2">
      <c r="K1132" s="47"/>
      <c r="L1132" s="47"/>
      <c r="M1132" s="47"/>
      <c r="N1132" s="47"/>
      <c r="O1132" s="47"/>
      <c r="P1132" s="47"/>
      <c r="Q1132" s="47"/>
      <c r="R1132" s="47"/>
      <c r="S1132" s="47"/>
      <c r="T1132" s="47"/>
      <c r="U1132" s="47"/>
      <c r="V1132" s="47"/>
      <c r="W1132" s="47"/>
    </row>
    <row r="1133" spans="11:23" x14ac:dyDescent="0.2">
      <c r="K1133" s="47"/>
      <c r="L1133" s="47"/>
      <c r="M1133" s="47"/>
      <c r="N1133" s="47"/>
      <c r="O1133" s="47"/>
      <c r="P1133" s="47"/>
      <c r="Q1133" s="47"/>
      <c r="R1133" s="47"/>
      <c r="S1133" s="47"/>
      <c r="T1133" s="47"/>
      <c r="U1133" s="47"/>
      <c r="V1133" s="47"/>
      <c r="W1133" s="47"/>
    </row>
    <row r="1134" spans="11:23" x14ac:dyDescent="0.2">
      <c r="K1134" s="47"/>
      <c r="L1134" s="47"/>
      <c r="M1134" s="47"/>
      <c r="N1134" s="47"/>
      <c r="O1134" s="47"/>
      <c r="P1134" s="47"/>
      <c r="Q1134" s="47"/>
      <c r="R1134" s="47"/>
      <c r="S1134" s="47"/>
      <c r="T1134" s="47"/>
      <c r="U1134" s="47"/>
      <c r="V1134" s="47"/>
      <c r="W1134" s="47"/>
    </row>
    <row r="1135" spans="11:23" x14ac:dyDescent="0.2">
      <c r="K1135" s="47"/>
      <c r="L1135" s="47"/>
      <c r="M1135" s="47"/>
      <c r="N1135" s="47"/>
      <c r="O1135" s="47"/>
      <c r="P1135" s="47"/>
      <c r="Q1135" s="47"/>
      <c r="R1135" s="47"/>
      <c r="S1135" s="47"/>
      <c r="T1135" s="47"/>
      <c r="U1135" s="47"/>
      <c r="V1135" s="47"/>
      <c r="W1135" s="47"/>
    </row>
    <row r="1136" spans="11:23" x14ac:dyDescent="0.2">
      <c r="K1136" s="47"/>
      <c r="L1136" s="47"/>
      <c r="M1136" s="47"/>
      <c r="N1136" s="47"/>
      <c r="O1136" s="47"/>
      <c r="P1136" s="47"/>
      <c r="Q1136" s="47"/>
      <c r="R1136" s="47"/>
      <c r="S1136" s="47"/>
      <c r="T1136" s="47"/>
      <c r="U1136" s="47"/>
      <c r="V1136" s="47"/>
      <c r="W1136" s="47"/>
    </row>
    <row r="1137" spans="11:23" x14ac:dyDescent="0.2">
      <c r="K1137" s="47"/>
      <c r="L1137" s="47"/>
      <c r="M1137" s="47"/>
      <c r="N1137" s="47"/>
      <c r="O1137" s="47"/>
      <c r="P1137" s="47"/>
      <c r="Q1137" s="47"/>
      <c r="R1137" s="47"/>
      <c r="S1137" s="47"/>
      <c r="T1137" s="47"/>
      <c r="U1137" s="47"/>
      <c r="V1137" s="47"/>
      <c r="W1137" s="47"/>
    </row>
    <row r="1138" spans="11:23" x14ac:dyDescent="0.2">
      <c r="K1138" s="47"/>
      <c r="L1138" s="47"/>
      <c r="M1138" s="47"/>
      <c r="N1138" s="47"/>
      <c r="O1138" s="47"/>
      <c r="P1138" s="47"/>
      <c r="Q1138" s="47"/>
      <c r="R1138" s="47"/>
      <c r="S1138" s="47"/>
      <c r="T1138" s="47"/>
      <c r="U1138" s="47"/>
      <c r="V1138" s="47"/>
      <c r="W1138" s="47"/>
    </row>
    <row r="1139" spans="11:23" x14ac:dyDescent="0.2">
      <c r="K1139" s="47"/>
      <c r="L1139" s="47"/>
      <c r="M1139" s="47"/>
      <c r="N1139" s="47"/>
      <c r="O1139" s="47"/>
      <c r="P1139" s="47"/>
      <c r="Q1139" s="47"/>
      <c r="R1139" s="47"/>
      <c r="S1139" s="47"/>
      <c r="T1139" s="47"/>
      <c r="U1139" s="47"/>
      <c r="V1139" s="47"/>
      <c r="W1139" s="47"/>
    </row>
    <row r="1140" spans="11:23" x14ac:dyDescent="0.2">
      <c r="K1140" s="47"/>
      <c r="L1140" s="47"/>
      <c r="M1140" s="47"/>
      <c r="N1140" s="47"/>
      <c r="O1140" s="47"/>
      <c r="P1140" s="47"/>
      <c r="Q1140" s="47"/>
      <c r="R1140" s="47"/>
      <c r="S1140" s="47"/>
      <c r="T1140" s="47"/>
      <c r="U1140" s="47"/>
      <c r="V1140" s="47"/>
      <c r="W1140" s="47"/>
    </row>
    <row r="1141" spans="11:23" x14ac:dyDescent="0.2">
      <c r="K1141" s="47"/>
      <c r="L1141" s="47"/>
      <c r="M1141" s="47"/>
      <c r="N1141" s="47"/>
      <c r="O1141" s="47"/>
      <c r="P1141" s="47"/>
      <c r="Q1141" s="47"/>
      <c r="R1141" s="47"/>
      <c r="S1141" s="47"/>
      <c r="T1141" s="47"/>
      <c r="U1141" s="47"/>
      <c r="V1141" s="47"/>
      <c r="W1141" s="47"/>
    </row>
    <row r="1142" spans="11:23" x14ac:dyDescent="0.2">
      <c r="K1142" s="47"/>
      <c r="L1142" s="47"/>
      <c r="M1142" s="47"/>
      <c r="N1142" s="47"/>
      <c r="O1142" s="47"/>
      <c r="P1142" s="47"/>
      <c r="Q1142" s="47"/>
      <c r="R1142" s="47"/>
      <c r="S1142" s="47"/>
      <c r="T1142" s="47"/>
      <c r="U1142" s="47"/>
      <c r="V1142" s="47"/>
      <c r="W1142" s="47"/>
    </row>
    <row r="1143" spans="11:23" x14ac:dyDescent="0.2">
      <c r="K1143" s="47"/>
      <c r="L1143" s="47"/>
      <c r="M1143" s="47"/>
      <c r="N1143" s="47"/>
      <c r="O1143" s="47"/>
      <c r="P1143" s="47"/>
      <c r="Q1143" s="47"/>
      <c r="R1143" s="47"/>
      <c r="S1143" s="47"/>
      <c r="T1143" s="47"/>
      <c r="U1143" s="47"/>
      <c r="V1143" s="47"/>
      <c r="W1143" s="47"/>
    </row>
    <row r="1144" spans="11:23" x14ac:dyDescent="0.2">
      <c r="K1144" s="47"/>
      <c r="L1144" s="47"/>
      <c r="M1144" s="47"/>
      <c r="N1144" s="47"/>
      <c r="O1144" s="47"/>
      <c r="P1144" s="47"/>
      <c r="Q1144" s="47"/>
      <c r="R1144" s="47"/>
      <c r="S1144" s="47"/>
      <c r="T1144" s="47"/>
      <c r="U1144" s="47"/>
      <c r="V1144" s="47"/>
      <c r="W1144" s="47"/>
    </row>
    <row r="1145" spans="11:23" x14ac:dyDescent="0.2">
      <c r="K1145" s="47"/>
      <c r="L1145" s="47"/>
      <c r="M1145" s="47"/>
      <c r="N1145" s="47"/>
      <c r="O1145" s="47"/>
      <c r="P1145" s="47"/>
      <c r="Q1145" s="47"/>
      <c r="R1145" s="47"/>
      <c r="S1145" s="47"/>
      <c r="T1145" s="47"/>
      <c r="U1145" s="47"/>
      <c r="V1145" s="47"/>
      <c r="W1145" s="47"/>
    </row>
    <row r="1146" spans="11:23" x14ac:dyDescent="0.2">
      <c r="K1146" s="47"/>
      <c r="L1146" s="47"/>
      <c r="M1146" s="47"/>
      <c r="N1146" s="47"/>
      <c r="O1146" s="47"/>
      <c r="P1146" s="47"/>
      <c r="Q1146" s="47"/>
      <c r="R1146" s="47"/>
      <c r="S1146" s="47"/>
      <c r="T1146" s="47"/>
      <c r="U1146" s="47"/>
      <c r="V1146" s="47"/>
      <c r="W1146" s="47"/>
    </row>
    <row r="1147" spans="11:23" x14ac:dyDescent="0.2"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7"/>
      <c r="V1147" s="47"/>
      <c r="W1147" s="47"/>
    </row>
    <row r="1148" spans="11:23" x14ac:dyDescent="0.2">
      <c r="K1148" s="47"/>
      <c r="L1148" s="47"/>
      <c r="M1148" s="47"/>
      <c r="N1148" s="47"/>
      <c r="O1148" s="47"/>
      <c r="P1148" s="47"/>
      <c r="Q1148" s="47"/>
      <c r="R1148" s="47"/>
      <c r="S1148" s="47"/>
      <c r="T1148" s="47"/>
      <c r="U1148" s="47"/>
      <c r="V1148" s="47"/>
      <c r="W1148" s="47"/>
    </row>
    <row r="1149" spans="11:23" x14ac:dyDescent="0.2">
      <c r="K1149" s="47"/>
      <c r="L1149" s="47"/>
      <c r="M1149" s="47"/>
      <c r="N1149" s="47"/>
      <c r="O1149" s="47"/>
      <c r="P1149" s="47"/>
      <c r="Q1149" s="47"/>
      <c r="R1149" s="47"/>
      <c r="S1149" s="47"/>
      <c r="T1149" s="47"/>
      <c r="U1149" s="47"/>
      <c r="V1149" s="47"/>
      <c r="W1149" s="47"/>
    </row>
    <row r="1150" spans="11:23" x14ac:dyDescent="0.2">
      <c r="K1150" s="47"/>
      <c r="L1150" s="47"/>
      <c r="M1150" s="47"/>
      <c r="N1150" s="47"/>
      <c r="O1150" s="47"/>
      <c r="P1150" s="47"/>
      <c r="Q1150" s="47"/>
      <c r="R1150" s="47"/>
      <c r="S1150" s="47"/>
      <c r="T1150" s="47"/>
      <c r="U1150" s="47"/>
      <c r="V1150" s="47"/>
      <c r="W1150" s="47"/>
    </row>
    <row r="1151" spans="11:23" x14ac:dyDescent="0.2">
      <c r="K1151" s="47"/>
      <c r="L1151" s="47"/>
      <c r="M1151" s="47"/>
      <c r="N1151" s="47"/>
      <c r="O1151" s="47"/>
      <c r="P1151" s="47"/>
      <c r="Q1151" s="47"/>
      <c r="R1151" s="47"/>
      <c r="S1151" s="47"/>
      <c r="T1151" s="47"/>
      <c r="U1151" s="47"/>
      <c r="V1151" s="47"/>
      <c r="W1151" s="47"/>
    </row>
    <row r="1152" spans="11:23" x14ac:dyDescent="0.2">
      <c r="K1152" s="47"/>
      <c r="L1152" s="47"/>
      <c r="M1152" s="47"/>
      <c r="N1152" s="47"/>
      <c r="O1152" s="47"/>
      <c r="P1152" s="47"/>
      <c r="Q1152" s="47"/>
      <c r="R1152" s="47"/>
      <c r="S1152" s="47"/>
      <c r="T1152" s="47"/>
      <c r="U1152" s="47"/>
      <c r="V1152" s="47"/>
      <c r="W1152" s="47"/>
    </row>
    <row r="1153" spans="11:23" x14ac:dyDescent="0.2">
      <c r="K1153" s="47"/>
      <c r="L1153" s="47"/>
      <c r="M1153" s="47"/>
      <c r="N1153" s="47"/>
      <c r="O1153" s="47"/>
      <c r="P1153" s="47"/>
      <c r="Q1153" s="47"/>
      <c r="R1153" s="47"/>
      <c r="S1153" s="47"/>
      <c r="T1153" s="47"/>
      <c r="U1153" s="47"/>
      <c r="V1153" s="47"/>
      <c r="W1153" s="47"/>
    </row>
    <row r="1154" spans="11:23" x14ac:dyDescent="0.2">
      <c r="K1154" s="47"/>
      <c r="L1154" s="47"/>
      <c r="M1154" s="47"/>
      <c r="N1154" s="47"/>
      <c r="O1154" s="47"/>
      <c r="P1154" s="47"/>
      <c r="Q1154" s="47"/>
      <c r="R1154" s="47"/>
      <c r="S1154" s="47"/>
      <c r="T1154" s="47"/>
      <c r="U1154" s="47"/>
      <c r="V1154" s="47"/>
      <c r="W1154" s="47"/>
    </row>
    <row r="1155" spans="11:23" x14ac:dyDescent="0.2">
      <c r="K1155" s="47"/>
      <c r="L1155" s="47"/>
      <c r="M1155" s="47"/>
      <c r="N1155" s="47"/>
      <c r="O1155" s="47"/>
      <c r="P1155" s="47"/>
      <c r="Q1155" s="47"/>
      <c r="R1155" s="47"/>
      <c r="S1155" s="47"/>
      <c r="T1155" s="47"/>
      <c r="U1155" s="47"/>
      <c r="V1155" s="47"/>
      <c r="W1155" s="47"/>
    </row>
    <row r="1156" spans="11:23" x14ac:dyDescent="0.2">
      <c r="K1156" s="47"/>
      <c r="L1156" s="47"/>
      <c r="M1156" s="47"/>
      <c r="N1156" s="47"/>
      <c r="O1156" s="47"/>
      <c r="P1156" s="47"/>
      <c r="Q1156" s="47"/>
      <c r="R1156" s="47"/>
      <c r="S1156" s="47"/>
      <c r="T1156" s="47"/>
      <c r="U1156" s="47"/>
      <c r="V1156" s="47"/>
      <c r="W1156" s="47"/>
    </row>
    <row r="1157" spans="11:23" x14ac:dyDescent="0.2">
      <c r="K1157" s="47"/>
      <c r="L1157" s="47"/>
      <c r="M1157" s="47"/>
      <c r="N1157" s="47"/>
      <c r="O1157" s="47"/>
      <c r="P1157" s="47"/>
      <c r="Q1157" s="47"/>
      <c r="R1157" s="47"/>
      <c r="S1157" s="47"/>
      <c r="T1157" s="47"/>
      <c r="U1157" s="47"/>
      <c r="V1157" s="47"/>
      <c r="W1157" s="47"/>
    </row>
    <row r="1158" spans="11:23" x14ac:dyDescent="0.2">
      <c r="K1158" s="47"/>
      <c r="L1158" s="47"/>
      <c r="M1158" s="47"/>
      <c r="N1158" s="47"/>
      <c r="O1158" s="47"/>
      <c r="P1158" s="47"/>
      <c r="Q1158" s="47"/>
      <c r="R1158" s="47"/>
      <c r="S1158" s="47"/>
      <c r="T1158" s="47"/>
      <c r="U1158" s="47"/>
      <c r="V1158" s="47"/>
      <c r="W1158" s="47"/>
    </row>
    <row r="1159" spans="11:23" x14ac:dyDescent="0.2">
      <c r="K1159" s="47"/>
      <c r="L1159" s="47"/>
      <c r="M1159" s="47"/>
      <c r="N1159" s="47"/>
      <c r="O1159" s="47"/>
      <c r="P1159" s="47"/>
      <c r="Q1159" s="47"/>
      <c r="R1159" s="47"/>
      <c r="S1159" s="47"/>
      <c r="T1159" s="47"/>
      <c r="U1159" s="47"/>
      <c r="V1159" s="47"/>
      <c r="W1159" s="47"/>
    </row>
    <row r="1160" spans="11:23" x14ac:dyDescent="0.2">
      <c r="K1160" s="47"/>
      <c r="L1160" s="47"/>
      <c r="M1160" s="47"/>
      <c r="N1160" s="47"/>
      <c r="O1160" s="47"/>
      <c r="P1160" s="47"/>
      <c r="Q1160" s="47"/>
      <c r="R1160" s="47"/>
      <c r="S1160" s="47"/>
      <c r="T1160" s="47"/>
      <c r="U1160" s="47"/>
      <c r="V1160" s="47"/>
      <c r="W1160" s="47"/>
    </row>
    <row r="1161" spans="11:23" x14ac:dyDescent="0.2">
      <c r="K1161" s="47"/>
      <c r="L1161" s="47"/>
      <c r="M1161" s="47"/>
      <c r="N1161" s="47"/>
      <c r="O1161" s="47"/>
      <c r="P1161" s="47"/>
      <c r="Q1161" s="47"/>
      <c r="R1161" s="47"/>
      <c r="S1161" s="47"/>
      <c r="T1161" s="47"/>
      <c r="U1161" s="47"/>
      <c r="V1161" s="47"/>
      <c r="W1161" s="47"/>
    </row>
    <row r="1162" spans="11:23" x14ac:dyDescent="0.2">
      <c r="K1162" s="47"/>
      <c r="L1162" s="47"/>
      <c r="M1162" s="47"/>
      <c r="N1162" s="47"/>
      <c r="O1162" s="47"/>
      <c r="P1162" s="47"/>
      <c r="Q1162" s="47"/>
      <c r="R1162" s="47"/>
      <c r="S1162" s="47"/>
      <c r="T1162" s="47"/>
      <c r="U1162" s="47"/>
      <c r="V1162" s="47"/>
      <c r="W1162" s="47"/>
    </row>
    <row r="1163" spans="11:23" x14ac:dyDescent="0.2">
      <c r="K1163" s="47"/>
      <c r="L1163" s="47"/>
      <c r="M1163" s="47"/>
      <c r="N1163" s="47"/>
      <c r="O1163" s="47"/>
      <c r="P1163" s="47"/>
      <c r="Q1163" s="47"/>
      <c r="R1163" s="47"/>
      <c r="S1163" s="47"/>
      <c r="T1163" s="47"/>
      <c r="U1163" s="47"/>
      <c r="V1163" s="47"/>
      <c r="W1163" s="47"/>
    </row>
    <row r="1164" spans="11:23" x14ac:dyDescent="0.2">
      <c r="K1164" s="47"/>
      <c r="L1164" s="47"/>
      <c r="M1164" s="47"/>
      <c r="N1164" s="47"/>
      <c r="O1164" s="47"/>
      <c r="P1164" s="47"/>
      <c r="Q1164" s="47"/>
      <c r="R1164" s="47"/>
      <c r="S1164" s="47"/>
      <c r="T1164" s="47"/>
      <c r="U1164" s="47"/>
      <c r="V1164" s="47"/>
      <c r="W1164" s="47"/>
    </row>
    <row r="1165" spans="11:23" x14ac:dyDescent="0.2">
      <c r="K1165" s="47"/>
      <c r="L1165" s="47"/>
      <c r="M1165" s="47"/>
      <c r="N1165" s="47"/>
      <c r="O1165" s="47"/>
      <c r="P1165" s="47"/>
      <c r="Q1165" s="47"/>
      <c r="R1165" s="47"/>
      <c r="S1165" s="47"/>
      <c r="T1165" s="47"/>
      <c r="U1165" s="47"/>
      <c r="V1165" s="47"/>
      <c r="W1165" s="47"/>
    </row>
    <row r="1166" spans="11:23" x14ac:dyDescent="0.2">
      <c r="K1166" s="47"/>
      <c r="L1166" s="47"/>
      <c r="M1166" s="47"/>
      <c r="N1166" s="47"/>
      <c r="O1166" s="47"/>
      <c r="P1166" s="47"/>
      <c r="Q1166" s="47"/>
      <c r="R1166" s="47"/>
      <c r="S1166" s="47"/>
      <c r="T1166" s="47"/>
      <c r="U1166" s="47"/>
      <c r="V1166" s="47"/>
      <c r="W1166" s="47"/>
    </row>
    <row r="1167" spans="11:23" x14ac:dyDescent="0.2">
      <c r="K1167" s="47"/>
      <c r="L1167" s="47"/>
      <c r="M1167" s="47"/>
      <c r="N1167" s="47"/>
      <c r="O1167" s="47"/>
      <c r="P1167" s="47"/>
      <c r="Q1167" s="47"/>
      <c r="R1167" s="47"/>
      <c r="S1167" s="47"/>
      <c r="T1167" s="47"/>
      <c r="U1167" s="47"/>
      <c r="V1167" s="47"/>
      <c r="W1167" s="47"/>
    </row>
    <row r="1168" spans="11:23" x14ac:dyDescent="0.2">
      <c r="K1168" s="47"/>
      <c r="L1168" s="47"/>
      <c r="M1168" s="47"/>
      <c r="N1168" s="47"/>
      <c r="O1168" s="47"/>
      <c r="P1168" s="47"/>
      <c r="Q1168" s="47"/>
      <c r="R1168" s="47"/>
      <c r="S1168" s="47"/>
      <c r="T1168" s="47"/>
      <c r="U1168" s="47"/>
      <c r="V1168" s="47"/>
      <c r="W1168" s="47"/>
    </row>
    <row r="1169" spans="11:23" x14ac:dyDescent="0.2">
      <c r="K1169" s="47"/>
      <c r="L1169" s="47"/>
      <c r="M1169" s="47"/>
      <c r="N1169" s="47"/>
      <c r="O1169" s="47"/>
      <c r="P1169" s="47"/>
      <c r="Q1169" s="47"/>
      <c r="R1169" s="47"/>
      <c r="S1169" s="47"/>
      <c r="T1169" s="47"/>
      <c r="U1169" s="47"/>
      <c r="V1169" s="47"/>
      <c r="W1169" s="47"/>
    </row>
    <row r="1170" spans="11:23" x14ac:dyDescent="0.2">
      <c r="K1170" s="47"/>
      <c r="L1170" s="47"/>
      <c r="M1170" s="47"/>
      <c r="N1170" s="47"/>
      <c r="O1170" s="47"/>
      <c r="P1170" s="47"/>
      <c r="Q1170" s="47"/>
      <c r="R1170" s="47"/>
      <c r="S1170" s="47"/>
      <c r="T1170" s="47"/>
      <c r="U1170" s="47"/>
      <c r="V1170" s="47"/>
      <c r="W1170" s="47"/>
    </row>
    <row r="1171" spans="11:23" x14ac:dyDescent="0.2">
      <c r="K1171" s="47"/>
      <c r="L1171" s="47"/>
      <c r="M1171" s="47"/>
      <c r="N1171" s="47"/>
      <c r="O1171" s="47"/>
      <c r="P1171" s="47"/>
      <c r="Q1171" s="47"/>
      <c r="R1171" s="47"/>
      <c r="S1171" s="47"/>
      <c r="T1171" s="47"/>
      <c r="U1171" s="47"/>
      <c r="V1171" s="47"/>
      <c r="W1171" s="47"/>
    </row>
    <row r="1172" spans="11:23" x14ac:dyDescent="0.2">
      <c r="K1172" s="47"/>
      <c r="L1172" s="47"/>
      <c r="M1172" s="47"/>
      <c r="N1172" s="47"/>
      <c r="O1172" s="47"/>
      <c r="P1172" s="47"/>
      <c r="Q1172" s="47"/>
      <c r="R1172" s="47"/>
      <c r="S1172" s="47"/>
      <c r="T1172" s="47"/>
      <c r="U1172" s="47"/>
      <c r="V1172" s="47"/>
      <c r="W1172" s="47"/>
    </row>
    <row r="1173" spans="11:23" x14ac:dyDescent="0.2">
      <c r="K1173" s="47"/>
      <c r="L1173" s="47"/>
      <c r="M1173" s="47"/>
      <c r="N1173" s="47"/>
      <c r="O1173" s="47"/>
      <c r="P1173" s="47"/>
      <c r="Q1173" s="47"/>
      <c r="R1173" s="47"/>
      <c r="S1173" s="47"/>
      <c r="T1173" s="47"/>
      <c r="U1173" s="47"/>
      <c r="V1173" s="47"/>
      <c r="W1173" s="47"/>
    </row>
    <row r="1174" spans="11:23" x14ac:dyDescent="0.2">
      <c r="K1174" s="47"/>
      <c r="L1174" s="47"/>
      <c r="M1174" s="47"/>
      <c r="N1174" s="47"/>
      <c r="O1174" s="47"/>
      <c r="P1174" s="47"/>
      <c r="Q1174" s="47"/>
      <c r="R1174" s="47"/>
      <c r="S1174" s="47"/>
      <c r="T1174" s="47"/>
      <c r="U1174" s="47"/>
      <c r="V1174" s="47"/>
      <c r="W1174" s="47"/>
    </row>
    <row r="1175" spans="11:23" x14ac:dyDescent="0.2">
      <c r="K1175" s="47"/>
      <c r="L1175" s="47"/>
      <c r="M1175" s="47"/>
      <c r="N1175" s="47"/>
      <c r="O1175" s="47"/>
      <c r="P1175" s="47"/>
      <c r="Q1175" s="47"/>
      <c r="R1175" s="47"/>
      <c r="S1175" s="47"/>
      <c r="T1175" s="47"/>
      <c r="U1175" s="47"/>
      <c r="V1175" s="47"/>
      <c r="W1175" s="47"/>
    </row>
    <row r="1176" spans="11:23" x14ac:dyDescent="0.2">
      <c r="K1176" s="47"/>
      <c r="L1176" s="47"/>
      <c r="M1176" s="47"/>
      <c r="N1176" s="47"/>
      <c r="O1176" s="47"/>
      <c r="P1176" s="47"/>
      <c r="Q1176" s="47"/>
      <c r="R1176" s="47"/>
      <c r="S1176" s="47"/>
      <c r="T1176" s="47"/>
      <c r="U1176" s="47"/>
      <c r="V1176" s="47"/>
      <c r="W1176" s="47"/>
    </row>
    <row r="1177" spans="11:23" x14ac:dyDescent="0.2">
      <c r="K1177" s="47"/>
      <c r="L1177" s="47"/>
      <c r="M1177" s="47"/>
      <c r="N1177" s="47"/>
      <c r="O1177" s="47"/>
      <c r="P1177" s="47"/>
      <c r="Q1177" s="47"/>
      <c r="R1177" s="47"/>
      <c r="S1177" s="47"/>
      <c r="T1177" s="47"/>
      <c r="U1177" s="47"/>
      <c r="V1177" s="47"/>
      <c r="W1177" s="47"/>
    </row>
    <row r="1178" spans="11:23" x14ac:dyDescent="0.2">
      <c r="K1178" s="47"/>
      <c r="L1178" s="47"/>
      <c r="M1178" s="47"/>
      <c r="N1178" s="47"/>
      <c r="O1178" s="47"/>
      <c r="P1178" s="47"/>
      <c r="Q1178" s="47"/>
      <c r="R1178" s="47"/>
      <c r="S1178" s="47"/>
      <c r="T1178" s="47"/>
      <c r="U1178" s="47"/>
      <c r="V1178" s="47"/>
      <c r="W1178" s="47"/>
    </row>
    <row r="1179" spans="11:23" x14ac:dyDescent="0.2">
      <c r="K1179" s="47"/>
      <c r="L1179" s="47"/>
      <c r="M1179" s="47"/>
      <c r="N1179" s="47"/>
      <c r="O1179" s="47"/>
      <c r="P1179" s="47"/>
      <c r="Q1179" s="47"/>
      <c r="R1179" s="47"/>
      <c r="S1179" s="47"/>
      <c r="T1179" s="47"/>
      <c r="U1179" s="47"/>
      <c r="V1179" s="47"/>
      <c r="W1179" s="47"/>
    </row>
    <row r="1180" spans="11:23" x14ac:dyDescent="0.2">
      <c r="K1180" s="47"/>
      <c r="L1180" s="47"/>
      <c r="M1180" s="47"/>
      <c r="N1180" s="47"/>
      <c r="O1180" s="47"/>
      <c r="P1180" s="47"/>
      <c r="Q1180" s="47"/>
      <c r="R1180" s="47"/>
      <c r="S1180" s="47"/>
      <c r="T1180" s="47"/>
      <c r="U1180" s="47"/>
      <c r="V1180" s="47"/>
      <c r="W1180" s="47"/>
    </row>
    <row r="1181" spans="11:23" x14ac:dyDescent="0.2">
      <c r="K1181" s="47"/>
      <c r="L1181" s="47"/>
      <c r="M1181" s="47"/>
      <c r="N1181" s="47"/>
      <c r="O1181" s="47"/>
      <c r="P1181" s="47"/>
      <c r="Q1181" s="47"/>
      <c r="R1181" s="47"/>
      <c r="S1181" s="47"/>
      <c r="T1181" s="47"/>
      <c r="U1181" s="47"/>
      <c r="V1181" s="47"/>
      <c r="W1181" s="47"/>
    </row>
    <row r="1182" spans="11:23" x14ac:dyDescent="0.2">
      <c r="K1182" s="47"/>
      <c r="L1182" s="47"/>
      <c r="M1182" s="47"/>
      <c r="N1182" s="47"/>
      <c r="O1182" s="47"/>
      <c r="P1182" s="47"/>
      <c r="Q1182" s="47"/>
      <c r="R1182" s="47"/>
      <c r="S1182" s="47"/>
      <c r="T1182" s="47"/>
      <c r="U1182" s="47"/>
      <c r="V1182" s="47"/>
      <c r="W1182" s="47"/>
    </row>
    <row r="1183" spans="11:23" x14ac:dyDescent="0.2">
      <c r="K1183" s="47"/>
      <c r="L1183" s="47"/>
      <c r="M1183" s="47"/>
      <c r="N1183" s="47"/>
      <c r="O1183" s="47"/>
      <c r="P1183" s="47"/>
      <c r="Q1183" s="47"/>
      <c r="R1183" s="47"/>
      <c r="S1183" s="47"/>
      <c r="T1183" s="47"/>
      <c r="U1183" s="47"/>
      <c r="V1183" s="47"/>
      <c r="W1183" s="47"/>
    </row>
    <row r="1184" spans="11:23" x14ac:dyDescent="0.2">
      <c r="K1184" s="47"/>
      <c r="L1184" s="47"/>
      <c r="M1184" s="47"/>
      <c r="N1184" s="47"/>
      <c r="O1184" s="47"/>
      <c r="P1184" s="47"/>
      <c r="Q1184" s="47"/>
      <c r="R1184" s="47"/>
      <c r="S1184" s="47"/>
      <c r="T1184" s="47"/>
      <c r="U1184" s="47"/>
      <c r="V1184" s="47"/>
      <c r="W1184" s="47"/>
    </row>
    <row r="1185" spans="11:23" x14ac:dyDescent="0.2">
      <c r="K1185" s="47"/>
      <c r="L1185" s="47"/>
      <c r="M1185" s="47"/>
      <c r="N1185" s="47"/>
      <c r="O1185" s="47"/>
      <c r="P1185" s="47"/>
      <c r="Q1185" s="47"/>
      <c r="R1185" s="47"/>
      <c r="S1185" s="47"/>
      <c r="T1185" s="47"/>
      <c r="U1185" s="47"/>
      <c r="V1185" s="47"/>
      <c r="W1185" s="47"/>
    </row>
    <row r="1186" spans="11:23" x14ac:dyDescent="0.2">
      <c r="K1186" s="47"/>
      <c r="L1186" s="47"/>
      <c r="M1186" s="47"/>
      <c r="N1186" s="47"/>
      <c r="O1186" s="47"/>
      <c r="P1186" s="47"/>
      <c r="Q1186" s="47"/>
      <c r="R1186" s="47"/>
      <c r="S1186" s="47"/>
      <c r="T1186" s="47"/>
      <c r="U1186" s="47"/>
      <c r="V1186" s="47"/>
      <c r="W1186" s="47"/>
    </row>
    <row r="1187" spans="11:23" x14ac:dyDescent="0.2">
      <c r="K1187" s="47"/>
      <c r="L1187" s="47"/>
      <c r="M1187" s="47"/>
      <c r="N1187" s="47"/>
      <c r="O1187" s="47"/>
      <c r="P1187" s="47"/>
      <c r="Q1187" s="47"/>
      <c r="R1187" s="47"/>
      <c r="S1187" s="47"/>
      <c r="T1187" s="47"/>
      <c r="U1187" s="47"/>
      <c r="V1187" s="47"/>
      <c r="W1187" s="47"/>
    </row>
    <row r="1188" spans="11:23" x14ac:dyDescent="0.2">
      <c r="K1188" s="47"/>
      <c r="L1188" s="47"/>
      <c r="M1188" s="47"/>
      <c r="N1188" s="47"/>
      <c r="O1188" s="47"/>
      <c r="P1188" s="47"/>
      <c r="Q1188" s="47"/>
      <c r="R1188" s="47"/>
      <c r="S1188" s="47"/>
      <c r="T1188" s="47"/>
      <c r="U1188" s="47"/>
      <c r="V1188" s="47"/>
      <c r="W1188" s="47"/>
    </row>
    <row r="1189" spans="11:23" x14ac:dyDescent="0.2">
      <c r="K1189" s="47"/>
      <c r="L1189" s="47"/>
      <c r="M1189" s="47"/>
      <c r="N1189" s="47"/>
      <c r="O1189" s="47"/>
      <c r="P1189" s="47"/>
      <c r="Q1189" s="47"/>
      <c r="R1189" s="47"/>
      <c r="S1189" s="47"/>
      <c r="T1189" s="47"/>
      <c r="U1189" s="47"/>
      <c r="V1189" s="47"/>
      <c r="W1189" s="47"/>
    </row>
    <row r="1190" spans="11:23" x14ac:dyDescent="0.2">
      <c r="K1190" s="47"/>
      <c r="L1190" s="47"/>
      <c r="M1190" s="47"/>
      <c r="N1190" s="47"/>
      <c r="O1190" s="47"/>
      <c r="P1190" s="47"/>
      <c r="Q1190" s="47"/>
      <c r="R1190" s="47"/>
      <c r="S1190" s="47"/>
      <c r="T1190" s="47"/>
      <c r="U1190" s="47"/>
      <c r="V1190" s="47"/>
      <c r="W1190" s="47"/>
    </row>
    <row r="1191" spans="11:23" x14ac:dyDescent="0.2">
      <c r="K1191" s="47"/>
      <c r="L1191" s="47"/>
      <c r="M1191" s="47"/>
      <c r="N1191" s="47"/>
      <c r="O1191" s="47"/>
      <c r="P1191" s="47"/>
      <c r="Q1191" s="47"/>
      <c r="R1191" s="47"/>
      <c r="S1191" s="47"/>
      <c r="T1191" s="47"/>
      <c r="U1191" s="47"/>
      <c r="V1191" s="47"/>
      <c r="W1191" s="47"/>
    </row>
    <row r="1192" spans="11:23" x14ac:dyDescent="0.2">
      <c r="K1192" s="47"/>
      <c r="L1192" s="47"/>
      <c r="M1192" s="47"/>
      <c r="N1192" s="47"/>
      <c r="O1192" s="47"/>
      <c r="P1192" s="47"/>
      <c r="Q1192" s="47"/>
      <c r="R1192" s="47"/>
      <c r="S1192" s="47"/>
      <c r="T1192" s="47"/>
      <c r="U1192" s="47"/>
      <c r="V1192" s="47"/>
      <c r="W1192" s="47"/>
    </row>
    <row r="1193" spans="11:23" x14ac:dyDescent="0.2">
      <c r="K1193" s="47"/>
      <c r="L1193" s="47"/>
      <c r="M1193" s="47"/>
      <c r="N1193" s="47"/>
      <c r="O1193" s="47"/>
      <c r="P1193" s="47"/>
      <c r="Q1193" s="47"/>
      <c r="R1193" s="47"/>
      <c r="S1193" s="47"/>
      <c r="T1193" s="47"/>
      <c r="U1193" s="47"/>
      <c r="V1193" s="47"/>
      <c r="W1193" s="47"/>
    </row>
    <row r="1194" spans="11:23" x14ac:dyDescent="0.2">
      <c r="K1194" s="47"/>
      <c r="L1194" s="47"/>
      <c r="M1194" s="47"/>
      <c r="N1194" s="47"/>
      <c r="O1194" s="47"/>
      <c r="P1194" s="47"/>
      <c r="Q1194" s="47"/>
      <c r="R1194" s="47"/>
      <c r="S1194" s="47"/>
      <c r="T1194" s="47"/>
      <c r="U1194" s="47"/>
      <c r="V1194" s="47"/>
      <c r="W1194" s="47"/>
    </row>
    <row r="1195" spans="11:23" x14ac:dyDescent="0.2">
      <c r="K1195" s="47"/>
      <c r="L1195" s="47"/>
      <c r="M1195" s="47"/>
      <c r="N1195" s="47"/>
      <c r="O1195" s="47"/>
      <c r="P1195" s="47"/>
      <c r="Q1195" s="47"/>
      <c r="R1195" s="47"/>
      <c r="S1195" s="47"/>
      <c r="T1195" s="47"/>
      <c r="U1195" s="47"/>
      <c r="V1195" s="47"/>
      <c r="W1195" s="47"/>
    </row>
    <row r="1196" spans="11:23" x14ac:dyDescent="0.2">
      <c r="K1196" s="47"/>
      <c r="L1196" s="47"/>
      <c r="M1196" s="47"/>
      <c r="N1196" s="47"/>
      <c r="O1196" s="47"/>
      <c r="P1196" s="47"/>
      <c r="Q1196" s="47"/>
      <c r="R1196" s="47"/>
      <c r="S1196" s="47"/>
      <c r="T1196" s="47"/>
      <c r="U1196" s="47"/>
      <c r="V1196" s="47"/>
      <c r="W1196" s="47"/>
    </row>
    <row r="1197" spans="11:23" x14ac:dyDescent="0.2">
      <c r="K1197" s="47"/>
      <c r="L1197" s="47"/>
      <c r="M1197" s="47"/>
      <c r="N1197" s="47"/>
      <c r="O1197" s="47"/>
      <c r="P1197" s="47"/>
      <c r="Q1197" s="47"/>
      <c r="R1197" s="47"/>
      <c r="S1197" s="47"/>
      <c r="T1197" s="47"/>
      <c r="U1197" s="47"/>
      <c r="V1197" s="47"/>
      <c r="W1197" s="47"/>
    </row>
    <row r="1198" spans="11:23" x14ac:dyDescent="0.2">
      <c r="K1198" s="47"/>
      <c r="L1198" s="47"/>
      <c r="M1198" s="47"/>
      <c r="N1198" s="47"/>
      <c r="O1198" s="47"/>
      <c r="P1198" s="47"/>
      <c r="Q1198" s="47"/>
      <c r="R1198" s="47"/>
      <c r="S1198" s="47"/>
      <c r="T1198" s="47"/>
      <c r="U1198" s="47"/>
      <c r="V1198" s="47"/>
      <c r="W1198" s="47"/>
    </row>
    <row r="1199" spans="11:23" x14ac:dyDescent="0.2">
      <c r="K1199" s="47"/>
      <c r="L1199" s="47"/>
      <c r="M1199" s="47"/>
      <c r="N1199" s="47"/>
      <c r="O1199" s="47"/>
      <c r="P1199" s="47"/>
      <c r="Q1199" s="47"/>
      <c r="R1199" s="47"/>
      <c r="S1199" s="47"/>
      <c r="T1199" s="47"/>
      <c r="U1199" s="47"/>
      <c r="V1199" s="47"/>
      <c r="W1199" s="47"/>
    </row>
    <row r="1200" spans="11:23" x14ac:dyDescent="0.2">
      <c r="K1200" s="47"/>
      <c r="L1200" s="47"/>
      <c r="M1200" s="47"/>
      <c r="N1200" s="47"/>
      <c r="O1200" s="47"/>
      <c r="P1200" s="47"/>
      <c r="Q1200" s="47"/>
      <c r="R1200" s="47"/>
      <c r="S1200" s="47"/>
      <c r="T1200" s="47"/>
      <c r="U1200" s="47"/>
      <c r="V1200" s="47"/>
      <c r="W1200" s="47"/>
    </row>
    <row r="1201" spans="11:23" x14ac:dyDescent="0.2">
      <c r="K1201" s="47"/>
      <c r="L1201" s="47"/>
      <c r="M1201" s="47"/>
      <c r="N1201" s="47"/>
      <c r="O1201" s="47"/>
      <c r="P1201" s="47"/>
      <c r="Q1201" s="47"/>
      <c r="R1201" s="47"/>
      <c r="S1201" s="47"/>
      <c r="T1201" s="47"/>
      <c r="U1201" s="47"/>
      <c r="V1201" s="47"/>
      <c r="W1201" s="47"/>
    </row>
    <row r="1202" spans="11:23" x14ac:dyDescent="0.2">
      <c r="K1202" s="47"/>
      <c r="L1202" s="47"/>
      <c r="M1202" s="47"/>
      <c r="N1202" s="47"/>
      <c r="O1202" s="47"/>
      <c r="P1202" s="47"/>
      <c r="Q1202" s="47"/>
      <c r="R1202" s="47"/>
      <c r="S1202" s="47"/>
      <c r="T1202" s="47"/>
      <c r="U1202" s="47"/>
      <c r="V1202" s="47"/>
      <c r="W1202" s="47"/>
    </row>
    <row r="1203" spans="11:23" x14ac:dyDescent="0.2">
      <c r="K1203" s="47"/>
      <c r="L1203" s="47"/>
      <c r="M1203" s="47"/>
      <c r="N1203" s="47"/>
      <c r="O1203" s="47"/>
      <c r="P1203" s="47"/>
      <c r="Q1203" s="47"/>
      <c r="R1203" s="47"/>
      <c r="S1203" s="47"/>
      <c r="T1203" s="47"/>
      <c r="U1203" s="47"/>
      <c r="V1203" s="47"/>
      <c r="W1203" s="47"/>
    </row>
    <row r="1204" spans="11:23" x14ac:dyDescent="0.2">
      <c r="K1204" s="47"/>
      <c r="L1204" s="47"/>
      <c r="M1204" s="47"/>
      <c r="N1204" s="47"/>
      <c r="O1204" s="47"/>
      <c r="P1204" s="47"/>
      <c r="Q1204" s="47"/>
      <c r="R1204" s="47"/>
      <c r="S1204" s="47"/>
      <c r="T1204" s="47"/>
      <c r="U1204" s="47"/>
      <c r="V1204" s="47"/>
      <c r="W1204" s="47"/>
    </row>
    <row r="1205" spans="11:23" x14ac:dyDescent="0.2">
      <c r="K1205" s="47"/>
      <c r="L1205" s="47"/>
      <c r="M1205" s="47"/>
      <c r="N1205" s="47"/>
      <c r="O1205" s="47"/>
      <c r="P1205" s="47"/>
      <c r="Q1205" s="47"/>
      <c r="R1205" s="47"/>
      <c r="S1205" s="47"/>
      <c r="T1205" s="47"/>
      <c r="U1205" s="47"/>
      <c r="V1205" s="47"/>
      <c r="W1205" s="47"/>
    </row>
    <row r="1206" spans="11:23" x14ac:dyDescent="0.2">
      <c r="K1206" s="47"/>
      <c r="L1206" s="47"/>
      <c r="M1206" s="47"/>
      <c r="N1206" s="47"/>
      <c r="O1206" s="47"/>
      <c r="P1206" s="47"/>
      <c r="Q1206" s="47"/>
      <c r="R1206" s="47"/>
      <c r="S1206" s="47"/>
      <c r="T1206" s="47"/>
      <c r="U1206" s="47"/>
      <c r="V1206" s="47"/>
      <c r="W1206" s="47"/>
    </row>
    <row r="1207" spans="11:23" x14ac:dyDescent="0.2">
      <c r="K1207" s="47"/>
      <c r="L1207" s="47"/>
      <c r="M1207" s="47"/>
      <c r="N1207" s="47"/>
      <c r="O1207" s="47"/>
      <c r="P1207" s="47"/>
      <c r="Q1207" s="47"/>
      <c r="R1207" s="47"/>
      <c r="S1207" s="47"/>
      <c r="T1207" s="47"/>
      <c r="U1207" s="47"/>
      <c r="V1207" s="47"/>
      <c r="W1207" s="47"/>
    </row>
    <row r="1208" spans="11:23" x14ac:dyDescent="0.2">
      <c r="K1208" s="47"/>
      <c r="L1208" s="47"/>
      <c r="M1208" s="47"/>
      <c r="N1208" s="47"/>
      <c r="O1208" s="47"/>
      <c r="P1208" s="47"/>
      <c r="Q1208" s="47"/>
      <c r="R1208" s="47"/>
      <c r="S1208" s="47"/>
      <c r="T1208" s="47"/>
      <c r="U1208" s="47"/>
      <c r="V1208" s="47"/>
      <c r="W1208" s="47"/>
    </row>
    <row r="1209" spans="11:23" x14ac:dyDescent="0.2">
      <c r="K1209" s="47"/>
      <c r="L1209" s="47"/>
      <c r="M1209" s="47"/>
      <c r="N1209" s="47"/>
      <c r="O1209" s="47"/>
      <c r="P1209" s="47"/>
      <c r="Q1209" s="47"/>
      <c r="R1209" s="47"/>
      <c r="S1209" s="47"/>
      <c r="T1209" s="47"/>
      <c r="U1209" s="47"/>
      <c r="V1209" s="47"/>
      <c r="W1209" s="47"/>
    </row>
    <row r="1210" spans="11:23" x14ac:dyDescent="0.2">
      <c r="K1210" s="47"/>
      <c r="L1210" s="47"/>
      <c r="M1210" s="47"/>
      <c r="N1210" s="47"/>
      <c r="O1210" s="47"/>
      <c r="P1210" s="47"/>
      <c r="Q1210" s="47"/>
      <c r="R1210" s="47"/>
      <c r="S1210" s="47"/>
      <c r="T1210" s="47"/>
      <c r="U1210" s="47"/>
      <c r="V1210" s="47"/>
      <c r="W1210" s="47"/>
    </row>
    <row r="1211" spans="11:23" x14ac:dyDescent="0.2">
      <c r="K1211" s="47"/>
      <c r="L1211" s="47"/>
      <c r="M1211" s="47"/>
      <c r="N1211" s="47"/>
      <c r="O1211" s="47"/>
      <c r="P1211" s="47"/>
      <c r="Q1211" s="47"/>
      <c r="R1211" s="47"/>
      <c r="S1211" s="47"/>
      <c r="T1211" s="47"/>
      <c r="U1211" s="47"/>
      <c r="V1211" s="47"/>
      <c r="W1211" s="47"/>
    </row>
    <row r="1212" spans="11:23" x14ac:dyDescent="0.2">
      <c r="K1212" s="47"/>
      <c r="L1212" s="47"/>
      <c r="M1212" s="47"/>
      <c r="N1212" s="47"/>
      <c r="O1212" s="47"/>
      <c r="P1212" s="47"/>
      <c r="Q1212" s="47"/>
      <c r="R1212" s="47"/>
      <c r="S1212" s="47"/>
      <c r="T1212" s="47"/>
      <c r="U1212" s="47"/>
      <c r="V1212" s="47"/>
      <c r="W1212" s="47"/>
    </row>
    <row r="1213" spans="11:23" x14ac:dyDescent="0.2">
      <c r="K1213" s="47"/>
      <c r="L1213" s="47"/>
      <c r="M1213" s="47"/>
      <c r="N1213" s="47"/>
      <c r="O1213" s="47"/>
      <c r="P1213" s="47"/>
      <c r="Q1213" s="47"/>
      <c r="R1213" s="47"/>
      <c r="S1213" s="47"/>
      <c r="T1213" s="47"/>
      <c r="U1213" s="47"/>
      <c r="V1213" s="47"/>
      <c r="W1213" s="47"/>
    </row>
    <row r="1214" spans="11:23" x14ac:dyDescent="0.2">
      <c r="K1214" s="47"/>
      <c r="L1214" s="47"/>
      <c r="M1214" s="47"/>
      <c r="N1214" s="47"/>
      <c r="O1214" s="47"/>
      <c r="P1214" s="47"/>
      <c r="Q1214" s="47"/>
      <c r="R1214" s="47"/>
      <c r="S1214" s="47"/>
      <c r="T1214" s="47"/>
      <c r="U1214" s="47"/>
      <c r="V1214" s="47"/>
      <c r="W1214" s="47"/>
    </row>
    <row r="1215" spans="11:23" x14ac:dyDescent="0.2">
      <c r="K1215" s="47"/>
      <c r="L1215" s="47"/>
      <c r="M1215" s="47"/>
      <c r="N1215" s="47"/>
      <c r="O1215" s="47"/>
      <c r="P1215" s="47"/>
      <c r="Q1215" s="47"/>
      <c r="R1215" s="47"/>
      <c r="S1215" s="47"/>
      <c r="T1215" s="47"/>
      <c r="U1215" s="47"/>
      <c r="V1215" s="47"/>
      <c r="W1215" s="47"/>
    </row>
    <row r="1216" spans="11:23" x14ac:dyDescent="0.2">
      <c r="K1216" s="47"/>
      <c r="L1216" s="47"/>
      <c r="M1216" s="47"/>
      <c r="N1216" s="47"/>
      <c r="O1216" s="47"/>
      <c r="P1216" s="47"/>
      <c r="Q1216" s="47"/>
      <c r="R1216" s="47"/>
      <c r="S1216" s="47"/>
      <c r="T1216" s="47"/>
      <c r="U1216" s="47"/>
      <c r="V1216" s="47"/>
      <c r="W1216" s="47"/>
    </row>
    <row r="1217" spans="11:23" x14ac:dyDescent="0.2">
      <c r="K1217" s="47"/>
      <c r="L1217" s="47"/>
      <c r="M1217" s="47"/>
      <c r="N1217" s="47"/>
      <c r="O1217" s="47"/>
      <c r="P1217" s="47"/>
      <c r="Q1217" s="47"/>
      <c r="R1217" s="47"/>
      <c r="S1217" s="47"/>
      <c r="T1217" s="47"/>
      <c r="U1217" s="47"/>
      <c r="V1217" s="47"/>
      <c r="W1217" s="47"/>
    </row>
    <row r="1218" spans="11:23" x14ac:dyDescent="0.2">
      <c r="K1218" s="47"/>
      <c r="L1218" s="47"/>
      <c r="M1218" s="47"/>
      <c r="N1218" s="47"/>
      <c r="O1218" s="47"/>
      <c r="P1218" s="47"/>
      <c r="Q1218" s="47"/>
      <c r="R1218" s="47"/>
      <c r="S1218" s="47"/>
      <c r="T1218" s="47"/>
      <c r="U1218" s="47"/>
      <c r="V1218" s="47"/>
      <c r="W1218" s="47"/>
    </row>
    <row r="1219" spans="11:23" x14ac:dyDescent="0.2">
      <c r="K1219" s="47"/>
      <c r="L1219" s="47"/>
      <c r="M1219" s="47"/>
      <c r="N1219" s="47"/>
      <c r="O1219" s="47"/>
      <c r="P1219" s="47"/>
      <c r="Q1219" s="47"/>
      <c r="R1219" s="47"/>
      <c r="S1219" s="47"/>
      <c r="T1219" s="47"/>
      <c r="U1219" s="47"/>
      <c r="V1219" s="47"/>
      <c r="W1219" s="47"/>
    </row>
    <row r="1220" spans="11:23" x14ac:dyDescent="0.2">
      <c r="K1220" s="47"/>
      <c r="L1220" s="47"/>
      <c r="M1220" s="47"/>
      <c r="N1220" s="47"/>
      <c r="O1220" s="47"/>
      <c r="P1220" s="47"/>
      <c r="Q1220" s="47"/>
      <c r="R1220" s="47"/>
      <c r="S1220" s="47"/>
      <c r="T1220" s="47"/>
      <c r="U1220" s="47"/>
      <c r="V1220" s="47"/>
      <c r="W1220" s="47"/>
    </row>
    <row r="1221" spans="11:23" x14ac:dyDescent="0.2">
      <c r="K1221" s="47"/>
      <c r="L1221" s="47"/>
      <c r="M1221" s="47"/>
      <c r="N1221" s="47"/>
      <c r="O1221" s="47"/>
      <c r="P1221" s="47"/>
      <c r="Q1221" s="47"/>
      <c r="R1221" s="47"/>
      <c r="S1221" s="47"/>
      <c r="T1221" s="47"/>
      <c r="U1221" s="47"/>
      <c r="V1221" s="47"/>
      <c r="W1221" s="47"/>
    </row>
    <row r="1222" spans="11:23" x14ac:dyDescent="0.2">
      <c r="K1222" s="47"/>
      <c r="L1222" s="47"/>
      <c r="M1222" s="47"/>
      <c r="N1222" s="47"/>
      <c r="O1222" s="47"/>
      <c r="P1222" s="47"/>
      <c r="Q1222" s="47"/>
      <c r="R1222" s="47"/>
      <c r="S1222" s="47"/>
      <c r="T1222" s="47"/>
      <c r="U1222" s="47"/>
      <c r="V1222" s="47"/>
      <c r="W1222" s="47"/>
    </row>
    <row r="1223" spans="11:23" x14ac:dyDescent="0.2">
      <c r="K1223" s="47"/>
      <c r="L1223" s="47"/>
      <c r="M1223" s="47"/>
      <c r="N1223" s="47"/>
      <c r="O1223" s="47"/>
      <c r="P1223" s="47"/>
      <c r="Q1223" s="47"/>
      <c r="R1223" s="47"/>
      <c r="S1223" s="47"/>
      <c r="T1223" s="47"/>
      <c r="U1223" s="47"/>
      <c r="V1223" s="47"/>
      <c r="W1223" s="47"/>
    </row>
    <row r="1224" spans="11:23" x14ac:dyDescent="0.2">
      <c r="K1224" s="47"/>
      <c r="L1224" s="47"/>
      <c r="M1224" s="47"/>
      <c r="N1224" s="47"/>
      <c r="O1224" s="47"/>
      <c r="P1224" s="47"/>
      <c r="Q1224" s="47"/>
      <c r="R1224" s="47"/>
      <c r="S1224" s="47"/>
      <c r="T1224" s="47"/>
      <c r="U1224" s="47"/>
      <c r="V1224" s="47"/>
      <c r="W1224" s="47"/>
    </row>
    <row r="1225" spans="11:23" x14ac:dyDescent="0.2">
      <c r="K1225" s="47"/>
      <c r="L1225" s="47"/>
      <c r="M1225" s="47"/>
      <c r="N1225" s="47"/>
      <c r="O1225" s="47"/>
      <c r="P1225" s="47"/>
      <c r="Q1225" s="47"/>
      <c r="R1225" s="47"/>
      <c r="S1225" s="47"/>
      <c r="T1225" s="47"/>
      <c r="U1225" s="47"/>
      <c r="V1225" s="47"/>
      <c r="W1225" s="47"/>
    </row>
    <row r="1226" spans="11:23" x14ac:dyDescent="0.2">
      <c r="K1226" s="47"/>
      <c r="L1226" s="47"/>
      <c r="M1226" s="47"/>
      <c r="N1226" s="47"/>
      <c r="O1226" s="47"/>
      <c r="P1226" s="47"/>
      <c r="Q1226" s="47"/>
      <c r="R1226" s="47"/>
      <c r="S1226" s="47"/>
      <c r="T1226" s="47"/>
      <c r="U1226" s="47"/>
      <c r="V1226" s="47"/>
      <c r="W1226" s="47"/>
    </row>
    <row r="1227" spans="11:23" x14ac:dyDescent="0.2">
      <c r="K1227" s="47"/>
      <c r="L1227" s="47"/>
      <c r="M1227" s="47"/>
      <c r="N1227" s="47"/>
      <c r="O1227" s="47"/>
      <c r="P1227" s="47"/>
      <c r="Q1227" s="47"/>
      <c r="R1227" s="47"/>
      <c r="S1227" s="47"/>
      <c r="T1227" s="47"/>
      <c r="U1227" s="47"/>
      <c r="V1227" s="47"/>
      <c r="W1227" s="47"/>
    </row>
    <row r="1228" spans="11:23" x14ac:dyDescent="0.2">
      <c r="K1228" s="47"/>
      <c r="L1228" s="47"/>
      <c r="M1228" s="47"/>
      <c r="N1228" s="47"/>
      <c r="O1228" s="47"/>
      <c r="P1228" s="47"/>
      <c r="Q1228" s="47"/>
      <c r="R1228" s="47"/>
      <c r="S1228" s="47"/>
      <c r="T1228" s="47"/>
      <c r="U1228" s="47"/>
      <c r="V1228" s="47"/>
      <c r="W1228" s="47"/>
    </row>
    <row r="1229" spans="11:23" x14ac:dyDescent="0.2">
      <c r="K1229" s="47"/>
      <c r="L1229" s="47"/>
      <c r="M1229" s="47"/>
      <c r="N1229" s="47"/>
      <c r="O1229" s="47"/>
      <c r="P1229" s="47"/>
      <c r="Q1229" s="47"/>
      <c r="R1229" s="47"/>
      <c r="S1229" s="47"/>
      <c r="T1229" s="47"/>
      <c r="U1229" s="47"/>
      <c r="V1229" s="47"/>
      <c r="W1229" s="47"/>
    </row>
    <row r="1230" spans="11:23" x14ac:dyDescent="0.2">
      <c r="K1230" s="47"/>
      <c r="L1230" s="47"/>
      <c r="M1230" s="47"/>
      <c r="N1230" s="47"/>
      <c r="O1230" s="47"/>
      <c r="P1230" s="47"/>
      <c r="Q1230" s="47"/>
      <c r="R1230" s="47"/>
      <c r="S1230" s="47"/>
      <c r="T1230" s="47"/>
      <c r="U1230" s="47"/>
      <c r="V1230" s="47"/>
      <c r="W1230" s="47"/>
    </row>
  </sheetData>
  <pageMargins left="0.511811024" right="0.511811024" top="0.78740157499999996" bottom="0.78740157499999996" header="0.31496062000000002" footer="0.31496062000000002"/>
  <ignoredErrors>
    <ignoredError sqref="M79 M34 M47 M50 M200 M87 M90 M223 M229 M208 M203" formula="1"/>
  </ignoredErrors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F379-8CA0-4ED7-8540-6AFB6F26AA33}">
  <dimension ref="B1:U103"/>
  <sheetViews>
    <sheetView zoomScale="70" zoomScaleNormal="70" workbookViewId="0">
      <pane xSplit="8" ySplit="5" topLeftCell="I83" activePane="bottomRight" state="frozen"/>
      <selection pane="bottomLeft" activeCell="A6" sqref="A6"/>
      <selection pane="topRight" activeCell="H1" sqref="H1"/>
      <selection pane="bottomRight" activeCell="K108" sqref="K108"/>
    </sheetView>
  </sheetViews>
  <sheetFormatPr defaultColWidth="8.7421875" defaultRowHeight="15" x14ac:dyDescent="0.2"/>
  <cols>
    <col min="1" max="3" width="1.4765625" style="1" customWidth="1"/>
    <col min="4" max="8" width="8.7421875" style="1" customWidth="1"/>
    <col min="9" max="9" width="14.66015625" style="29" customWidth="1"/>
    <col min="10" max="21" width="16.27734375" style="1" customWidth="1"/>
    <col min="22" max="16384" width="8.7421875" style="1"/>
  </cols>
  <sheetData>
    <row r="1" spans="2:21" s="10" customFormat="1" ht="6.4" customHeight="1" x14ac:dyDescent="0.2">
      <c r="I1" s="27"/>
    </row>
    <row r="2" spans="2:21" s="11" customFormat="1" ht="6.4" customHeight="1" x14ac:dyDescent="0.2">
      <c r="I2" s="28"/>
    </row>
    <row r="4" spans="2:21" ht="19.5" thickBot="1" x14ac:dyDescent="0.3">
      <c r="D4" s="15" t="s">
        <v>9</v>
      </c>
    </row>
    <row r="5" spans="2:21" ht="15.75" thickBot="1" x14ac:dyDescent="0.25">
      <c r="I5" s="30"/>
      <c r="J5" s="23" t="s">
        <v>111</v>
      </c>
      <c r="K5" s="24" t="s">
        <v>10</v>
      </c>
      <c r="L5" s="24" t="s">
        <v>11</v>
      </c>
      <c r="M5" s="24" t="s">
        <v>12</v>
      </c>
      <c r="N5" s="24" t="s">
        <v>13</v>
      </c>
      <c r="O5" s="24" t="s">
        <v>14</v>
      </c>
      <c r="P5" s="24" t="s">
        <v>15</v>
      </c>
      <c r="Q5" s="24" t="s">
        <v>16</v>
      </c>
      <c r="R5" s="24" t="s">
        <v>17</v>
      </c>
      <c r="S5" s="24" t="s">
        <v>18</v>
      </c>
      <c r="T5" s="24" t="s">
        <v>19</v>
      </c>
      <c r="U5" s="25" t="s">
        <v>158</v>
      </c>
    </row>
    <row r="7" spans="2:21" x14ac:dyDescent="0.2">
      <c r="B7" s="10"/>
      <c r="C7" s="13" t="s">
        <v>159</v>
      </c>
      <c r="D7" s="11"/>
      <c r="E7" s="11"/>
      <c r="F7" s="11"/>
      <c r="G7" s="11"/>
      <c r="H7" s="11"/>
      <c r="I7" s="28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9" spans="2:21" x14ac:dyDescent="0.2">
      <c r="C9" s="3" t="s">
        <v>160</v>
      </c>
    </row>
    <row r="10" spans="2:21" x14ac:dyDescent="0.2">
      <c r="C10" s="1" t="s">
        <v>161</v>
      </c>
      <c r="I10" s="44">
        <v>1.2589999999999999</v>
      </c>
    </row>
    <row r="11" spans="2:21" x14ac:dyDescent="0.2">
      <c r="C11" s="1" t="s">
        <v>162</v>
      </c>
      <c r="I11" s="44">
        <f>43.3/56.7</f>
        <v>0.7636684303350969</v>
      </c>
    </row>
    <row r="12" spans="2:21" x14ac:dyDescent="0.2">
      <c r="C12" s="1" t="s">
        <v>163</v>
      </c>
      <c r="I12" s="44">
        <f>I10/(1+(1-I51)*I11)</f>
        <v>0.80296429076397524</v>
      </c>
    </row>
    <row r="13" spans="2:21" x14ac:dyDescent="0.2">
      <c r="I13" s="44"/>
    </row>
    <row r="14" spans="2:21" x14ac:dyDescent="0.2">
      <c r="C14" s="3" t="s">
        <v>164</v>
      </c>
      <c r="I14" s="44"/>
    </row>
    <row r="15" spans="2:21" x14ac:dyDescent="0.2">
      <c r="C15" s="1" t="s">
        <v>161</v>
      </c>
      <c r="I15" s="44">
        <v>1.044</v>
      </c>
    </row>
    <row r="16" spans="2:21" x14ac:dyDescent="0.2">
      <c r="C16" s="1" t="s">
        <v>162</v>
      </c>
      <c r="I16" s="44">
        <f>51.5/48.5</f>
        <v>1.0618556701030928</v>
      </c>
    </row>
    <row r="17" spans="3:9" x14ac:dyDescent="0.2">
      <c r="C17" s="1" t="s">
        <v>163</v>
      </c>
      <c r="I17" s="44">
        <f>I15/(1+(1-I51)*I16)</f>
        <v>0.58333731756308005</v>
      </c>
    </row>
    <row r="18" spans="3:9" x14ac:dyDescent="0.2">
      <c r="I18" s="44"/>
    </row>
    <row r="19" spans="3:9" x14ac:dyDescent="0.2">
      <c r="C19" s="3" t="s">
        <v>165</v>
      </c>
      <c r="I19" s="44"/>
    </row>
    <row r="20" spans="3:9" x14ac:dyDescent="0.2">
      <c r="C20" s="1" t="s">
        <v>161</v>
      </c>
      <c r="I20" s="44">
        <v>0.97599999999999998</v>
      </c>
    </row>
    <row r="21" spans="3:9" x14ac:dyDescent="0.2">
      <c r="C21" s="1" t="s">
        <v>162</v>
      </c>
      <c r="I21" s="44">
        <f>49.5/50.5</f>
        <v>0.98019801980198018</v>
      </c>
    </row>
    <row r="22" spans="3:9" x14ac:dyDescent="0.2">
      <c r="C22" s="1" t="s">
        <v>163</v>
      </c>
      <c r="I22" s="44">
        <f>I20/(1+(1-I51)*I21)</f>
        <v>0.56449687131892501</v>
      </c>
    </row>
    <row r="23" spans="3:9" x14ac:dyDescent="0.2">
      <c r="I23" s="44"/>
    </row>
    <row r="24" spans="3:9" x14ac:dyDescent="0.2">
      <c r="C24" s="3" t="s">
        <v>166</v>
      </c>
      <c r="I24" s="44"/>
    </row>
    <row r="25" spans="3:9" x14ac:dyDescent="0.2">
      <c r="C25" s="1" t="s">
        <v>161</v>
      </c>
      <c r="I25" s="44">
        <v>0.54800000000000004</v>
      </c>
    </row>
    <row r="26" spans="3:9" x14ac:dyDescent="0.2">
      <c r="C26" s="1" t="s">
        <v>162</v>
      </c>
      <c r="I26" s="44">
        <f>18.1/81.9</f>
        <v>0.22100122100122099</v>
      </c>
    </row>
    <row r="27" spans="3:9" x14ac:dyDescent="0.2">
      <c r="C27" s="1" t="s">
        <v>163</v>
      </c>
      <c r="I27" s="44">
        <f>I25/(1+(1-I51)*I26)</f>
        <v>0.47064538038990167</v>
      </c>
    </row>
    <row r="28" spans="3:9" x14ac:dyDescent="0.2">
      <c r="I28" s="44"/>
    </row>
    <row r="29" spans="3:9" x14ac:dyDescent="0.2">
      <c r="C29" s="3" t="s">
        <v>167</v>
      </c>
      <c r="I29" s="44"/>
    </row>
    <row r="30" spans="3:9" x14ac:dyDescent="0.2">
      <c r="C30" s="1" t="s">
        <v>161</v>
      </c>
      <c r="I30" s="44">
        <v>0.46300000000000002</v>
      </c>
    </row>
    <row r="31" spans="3:9" x14ac:dyDescent="0.2">
      <c r="C31" s="1" t="s">
        <v>162</v>
      </c>
      <c r="I31" s="44">
        <f>11.3/88.7</f>
        <v>0.1273957158962796</v>
      </c>
    </row>
    <row r="32" spans="3:9" x14ac:dyDescent="0.2">
      <c r="C32" s="1" t="s">
        <v>163</v>
      </c>
      <c r="I32" s="44">
        <f>I30/(1+(1-I51)*I31)</f>
        <v>0.4229298520830439</v>
      </c>
    </row>
    <row r="33" spans="3:10" x14ac:dyDescent="0.2">
      <c r="I33" s="44"/>
    </row>
    <row r="34" spans="3:10" x14ac:dyDescent="0.2">
      <c r="C34" s="3" t="s">
        <v>168</v>
      </c>
      <c r="I34" s="44"/>
    </row>
    <row r="35" spans="3:10" x14ac:dyDescent="0.2">
      <c r="C35" s="1" t="s">
        <v>161</v>
      </c>
      <c r="I35" s="44">
        <v>0.89700000000000002</v>
      </c>
    </row>
    <row r="36" spans="3:10" x14ac:dyDescent="0.2">
      <c r="C36" s="1" t="s">
        <v>162</v>
      </c>
      <c r="I36" s="44">
        <f>0.6/0.4</f>
        <v>1.4999999999999998</v>
      </c>
    </row>
    <row r="37" spans="3:10" x14ac:dyDescent="0.2">
      <c r="C37" s="1" t="s">
        <v>163</v>
      </c>
      <c r="I37" s="44">
        <f>I35/(1+(1-I51)*I36)</f>
        <v>0.42400321429415522</v>
      </c>
    </row>
    <row r="38" spans="3:10" x14ac:dyDescent="0.2">
      <c r="I38" s="44"/>
    </row>
    <row r="39" spans="3:10" x14ac:dyDescent="0.2">
      <c r="C39" s="3" t="s">
        <v>169</v>
      </c>
      <c r="I39" s="44"/>
    </row>
    <row r="40" spans="3:10" x14ac:dyDescent="0.2">
      <c r="C40" s="1" t="s">
        <v>161</v>
      </c>
      <c r="I40" s="44">
        <v>0.67700000000000005</v>
      </c>
    </row>
    <row r="41" spans="3:10" x14ac:dyDescent="0.2">
      <c r="C41" s="1" t="s">
        <v>162</v>
      </c>
      <c r="I41" s="44">
        <f>32.1/67.9</f>
        <v>0.47275405007363769</v>
      </c>
    </row>
    <row r="42" spans="3:10" x14ac:dyDescent="0.2">
      <c r="C42" s="1" t="s">
        <v>163</v>
      </c>
      <c r="I42" s="44">
        <f>I40/(1+(1-I51)*I41)</f>
        <v>0.50089258502276879</v>
      </c>
    </row>
    <row r="45" spans="3:10" x14ac:dyDescent="0.2">
      <c r="C45" s="1" t="s">
        <v>390</v>
      </c>
      <c r="I45" s="44">
        <f>I12*0.5+AVERAGE(I17,I22,I27,I32,I37,I42)*0.5</f>
        <v>0.64867424710464383</v>
      </c>
    </row>
    <row r="48" spans="3:10" x14ac:dyDescent="0.2">
      <c r="C48" s="1" t="s">
        <v>407</v>
      </c>
      <c r="I48" s="31">
        <v>0.149649</v>
      </c>
      <c r="J48" s="1" t="s">
        <v>170</v>
      </c>
    </row>
    <row r="49" spans="3:10" x14ac:dyDescent="0.2">
      <c r="C49" s="1" t="s">
        <v>408</v>
      </c>
      <c r="I49" s="31">
        <v>5.1700000000000003E-2</v>
      </c>
      <c r="J49" s="1" t="s">
        <v>409</v>
      </c>
    </row>
    <row r="51" spans="3:10" x14ac:dyDescent="0.2">
      <c r="C51" s="1" t="s">
        <v>449</v>
      </c>
      <c r="I51" s="43">
        <v>0.25629999999999997</v>
      </c>
    </row>
    <row r="52" spans="3:10" x14ac:dyDescent="0.2">
      <c r="C52" s="1" t="s">
        <v>455</v>
      </c>
      <c r="I52" s="31">
        <f>AVERAGE(Modelo!N237:W237)</f>
        <v>0.19</v>
      </c>
    </row>
    <row r="53" spans="3:10" x14ac:dyDescent="0.2">
      <c r="I53" s="43"/>
    </row>
    <row r="54" spans="3:10" x14ac:dyDescent="0.2">
      <c r="C54" s="1" t="s">
        <v>448</v>
      </c>
      <c r="I54" s="254">
        <f>I45*(1+(1-I52)*(I56/I57))</f>
        <v>0.68982023364396505</v>
      </c>
    </row>
    <row r="55" spans="3:10" x14ac:dyDescent="0.2">
      <c r="I55" s="43"/>
    </row>
    <row r="56" spans="3:10" x14ac:dyDescent="0.2">
      <c r="C56" s="1" t="s">
        <v>398</v>
      </c>
      <c r="I56" s="235">
        <f>Modelo!W270+Modelo!W274</f>
        <v>133333.3333333334</v>
      </c>
    </row>
    <row r="57" spans="3:10" x14ac:dyDescent="0.2">
      <c r="C57" s="1" t="s">
        <v>399</v>
      </c>
      <c r="I57" s="235">
        <f>Modelo!W276</f>
        <v>1702640.3928935244</v>
      </c>
    </row>
    <row r="58" spans="3:10" x14ac:dyDescent="0.2">
      <c r="C58" s="1" t="s">
        <v>400</v>
      </c>
      <c r="I58" s="253">
        <f>I56/(I56+I57)</f>
        <v>7.2622680503903012E-2</v>
      </c>
    </row>
    <row r="59" spans="3:10" x14ac:dyDescent="0.2">
      <c r="C59" s="1" t="s">
        <v>401</v>
      </c>
      <c r="I59" s="253">
        <f>I57/(I56+I57)</f>
        <v>0.92737731949609692</v>
      </c>
    </row>
    <row r="60" spans="3:10" x14ac:dyDescent="0.2">
      <c r="I60" s="43"/>
    </row>
    <row r="61" spans="3:10" x14ac:dyDescent="0.2">
      <c r="C61" s="1" t="s">
        <v>405</v>
      </c>
      <c r="I61" s="31">
        <f>I49+I54*I65+I66+I69+I70</f>
        <v>0.21796921611678369</v>
      </c>
    </row>
    <row r="62" spans="3:10" x14ac:dyDescent="0.2">
      <c r="C62" s="1" t="s">
        <v>406</v>
      </c>
      <c r="I62" s="31">
        <f>((1+I61)*(1+I76))-1</f>
        <v>0.23478095336627214</v>
      </c>
    </row>
    <row r="63" spans="3:10" x14ac:dyDescent="0.2">
      <c r="C63" s="1" t="s">
        <v>136</v>
      </c>
      <c r="I63" s="31">
        <f>AVERAGE(Modelo!L171:W171)</f>
        <v>0.16684662956989174</v>
      </c>
    </row>
    <row r="65" spans="2:21" x14ac:dyDescent="0.2">
      <c r="C65" s="1" t="s">
        <v>446</v>
      </c>
      <c r="I65" s="31">
        <v>4.3299999999999998E-2</v>
      </c>
    </row>
    <row r="66" spans="2:21" x14ac:dyDescent="0.2">
      <c r="C66" s="1" t="s">
        <v>447</v>
      </c>
      <c r="I66" s="31">
        <v>3.3399999999999999E-2</v>
      </c>
    </row>
    <row r="67" spans="2:21" x14ac:dyDescent="0.2">
      <c r="I67" s="31"/>
    </row>
    <row r="68" spans="2:21" x14ac:dyDescent="0.2">
      <c r="C68" s="1" t="s">
        <v>452</v>
      </c>
      <c r="I68" s="31"/>
    </row>
    <row r="69" spans="2:21" x14ac:dyDescent="0.2">
      <c r="C69" s="1" t="s">
        <v>453</v>
      </c>
      <c r="I69" s="31">
        <v>0.05</v>
      </c>
    </row>
    <row r="70" spans="2:21" x14ac:dyDescent="0.2">
      <c r="C70" s="1" t="s">
        <v>454</v>
      </c>
      <c r="I70" s="31">
        <v>5.2999999999999999E-2</v>
      </c>
    </row>
    <row r="72" spans="2:21" x14ac:dyDescent="0.2">
      <c r="C72" s="1" t="s">
        <v>402</v>
      </c>
      <c r="I72" s="31">
        <v>3.5000000000000003E-2</v>
      </c>
    </row>
    <row r="73" spans="2:21" x14ac:dyDescent="0.2">
      <c r="I73" s="31"/>
    </row>
    <row r="74" spans="2:21" x14ac:dyDescent="0.2">
      <c r="C74" s="1" t="s">
        <v>403</v>
      </c>
      <c r="I74" s="31">
        <v>5.0299999999999997E-2</v>
      </c>
    </row>
    <row r="75" spans="2:21" x14ac:dyDescent="0.2">
      <c r="C75" s="1" t="s">
        <v>404</v>
      </c>
      <c r="I75" s="31">
        <v>3.5999999999999997E-2</v>
      </c>
    </row>
    <row r="76" spans="2:21" x14ac:dyDescent="0.2">
      <c r="C76" s="1" t="s">
        <v>451</v>
      </c>
      <c r="I76" s="31">
        <f>(1+I74)/(1+I75)-1</f>
        <v>1.3803088803088892E-2</v>
      </c>
    </row>
    <row r="77" spans="2:21" ht="15.75" thickBot="1" x14ac:dyDescent="0.25"/>
    <row r="78" spans="2:21" ht="15.75" thickBot="1" x14ac:dyDescent="0.25">
      <c r="C78" s="272" t="s">
        <v>159</v>
      </c>
      <c r="D78" s="107"/>
      <c r="E78" s="107"/>
      <c r="F78" s="107"/>
      <c r="G78" s="107"/>
      <c r="H78" s="107"/>
      <c r="I78" s="273">
        <f>I59*I62+I58*I63*(1-I52)</f>
        <v>0.22754517927420151</v>
      </c>
    </row>
    <row r="80" spans="2:21" x14ac:dyDescent="0.2">
      <c r="B80" s="10"/>
      <c r="C80" s="13" t="s">
        <v>171</v>
      </c>
      <c r="D80" s="11"/>
      <c r="E80" s="11"/>
      <c r="F80" s="11"/>
      <c r="G80" s="11"/>
      <c r="H80" s="11"/>
      <c r="I80" s="28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2" spans="4:21" x14ac:dyDescent="0.2">
      <c r="D82" s="1" t="s">
        <v>172</v>
      </c>
      <c r="J82" s="216">
        <f>Modelo!M225*(1-Valuation!$I$52)</f>
        <v>-2866.4256414784522</v>
      </c>
      <c r="K82" s="216">
        <f>Modelo!N225*(1-Valuation!$I$52)</f>
        <v>60780.687512332952</v>
      </c>
      <c r="L82" s="216">
        <f>Modelo!O225*(1-Valuation!$I$52)</f>
        <v>102243.91455155444</v>
      </c>
      <c r="M82" s="216">
        <f>Modelo!P225*(1-Valuation!$I$52)</f>
        <v>132586.42289085983</v>
      </c>
      <c r="N82" s="216">
        <f>Modelo!Q225*(1-Valuation!$I$52)</f>
        <v>161455.8660433456</v>
      </c>
      <c r="O82" s="216">
        <f>Modelo!R225*(1-Valuation!$I$52)</f>
        <v>189619.78860458394</v>
      </c>
      <c r="P82" s="216">
        <f>Modelo!S225*(1-Valuation!$I$52)</f>
        <v>216507.41278534519</v>
      </c>
      <c r="Q82" s="216">
        <f>Modelo!T225*(1-Valuation!$I$52)</f>
        <v>243053.13660909596</v>
      </c>
      <c r="R82" s="216">
        <f>Modelo!U225*(1-Valuation!$I$52)</f>
        <v>269546.20779052086</v>
      </c>
      <c r="S82" s="216">
        <f>Modelo!V225*(1-Valuation!$I$52)</f>
        <v>296224.59962883132</v>
      </c>
      <c r="T82" s="216">
        <f>Modelo!W225*(1-Valuation!$I$52)</f>
        <v>323335.65228576853</v>
      </c>
      <c r="U82" s="216"/>
    </row>
    <row r="83" spans="4:21" x14ac:dyDescent="0.2">
      <c r="D83" s="1" t="s">
        <v>145</v>
      </c>
      <c r="J83" s="216">
        <f>-Modelo!M223</f>
        <v>11754</v>
      </c>
      <c r="K83" s="216">
        <f>-Modelo!N223</f>
        <v>8844</v>
      </c>
      <c r="L83" s="216">
        <f>-Modelo!O223</f>
        <v>9197.76</v>
      </c>
      <c r="M83" s="216">
        <f>-Modelo!P223</f>
        <v>9565.6704000000009</v>
      </c>
      <c r="N83" s="216">
        <f>-Modelo!Q223</f>
        <v>9948.2972160000008</v>
      </c>
      <c r="O83" s="216">
        <f>-Modelo!R223</f>
        <v>10346.229104640001</v>
      </c>
      <c r="P83" s="216">
        <f>-Modelo!S223</f>
        <v>10760.0782688256</v>
      </c>
      <c r="Q83" s="216">
        <f>-Modelo!T223</f>
        <v>11190.481399578624</v>
      </c>
      <c r="R83" s="216">
        <f>-Modelo!U223</f>
        <v>11638.10065556177</v>
      </c>
      <c r="S83" s="216">
        <f>-Modelo!V223</f>
        <v>12103.62468178424</v>
      </c>
      <c r="T83" s="216">
        <f>-Modelo!W223</f>
        <v>12587.769669055609</v>
      </c>
      <c r="U83" s="216"/>
    </row>
    <row r="84" spans="4:21" x14ac:dyDescent="0.2">
      <c r="D84" s="1" t="s">
        <v>173</v>
      </c>
      <c r="J84" s="216">
        <f>-Modelo!M149</f>
        <v>0</v>
      </c>
      <c r="K84" s="216">
        <f>-Modelo!N149</f>
        <v>-8844</v>
      </c>
      <c r="L84" s="216">
        <f>-Modelo!O149</f>
        <v>-9197.76</v>
      </c>
      <c r="M84" s="216">
        <f>-Modelo!P149</f>
        <v>-9565.6704000000009</v>
      </c>
      <c r="N84" s="216">
        <f>-Modelo!Q149</f>
        <v>-9948.2972160000008</v>
      </c>
      <c r="O84" s="216">
        <f>-Modelo!R149</f>
        <v>-10346.229104640001</v>
      </c>
      <c r="P84" s="216">
        <f>-Modelo!S149</f>
        <v>-10760.0782688256</v>
      </c>
      <c r="Q84" s="216">
        <f>-Modelo!T149</f>
        <v>-11190.481399578624</v>
      </c>
      <c r="R84" s="216">
        <f>-Modelo!U149</f>
        <v>-11638.10065556177</v>
      </c>
      <c r="S84" s="216">
        <f>-Modelo!V149</f>
        <v>-12103.62468178424</v>
      </c>
      <c r="T84" s="216">
        <f>-Modelo!W149</f>
        <v>-12587.769669055609</v>
      </c>
      <c r="U84" s="216"/>
    </row>
    <row r="85" spans="4:21" x14ac:dyDescent="0.2">
      <c r="D85" s="1" t="s">
        <v>174</v>
      </c>
      <c r="J85" s="216">
        <f>-Modelo!M312</f>
        <v>-31359.815450299066</v>
      </c>
      <c r="K85" s="216">
        <f>-Modelo!N312</f>
        <v>-26205.377265979536</v>
      </c>
      <c r="L85" s="216">
        <f>-Modelo!O312</f>
        <v>-71838.387016553897</v>
      </c>
      <c r="M85" s="216">
        <f>-Modelo!P312</f>
        <v>-88603.764820298937</v>
      </c>
      <c r="N85" s="216">
        <f>-Modelo!Q312</f>
        <v>-118898.85948648769</v>
      </c>
      <c r="O85" s="216">
        <f>-Modelo!R312</f>
        <v>-150711.15764357237</v>
      </c>
      <c r="P85" s="216">
        <f>-Modelo!S312</f>
        <v>-181184.13033966243</v>
      </c>
      <c r="Q85" s="216">
        <f>-Modelo!T312</f>
        <v>-184478.90866612282</v>
      </c>
      <c r="R85" s="216">
        <f>-Modelo!U312</f>
        <v>-211001.49889967055</v>
      </c>
      <c r="S85" s="216">
        <f>-Modelo!V312</f>
        <v>-237695.68233403843</v>
      </c>
      <c r="T85" s="216">
        <f>-Modelo!W312</f>
        <v>-264790.47763750539</v>
      </c>
      <c r="U85" s="216"/>
    </row>
    <row r="86" spans="4:21" x14ac:dyDescent="0.2"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</row>
    <row r="87" spans="4:21" x14ac:dyDescent="0.2">
      <c r="D87" s="32" t="s">
        <v>175</v>
      </c>
      <c r="E87" s="32"/>
      <c r="F87" s="32"/>
      <c r="G87" s="32"/>
      <c r="H87" s="32"/>
      <c r="I87" s="45"/>
      <c r="J87" s="255">
        <f>J82+J83+J84+J85</f>
        <v>-22472.24109177752</v>
      </c>
      <c r="K87" s="255">
        <f>K82+K83+K84+K85</f>
        <v>34575.310246353416</v>
      </c>
      <c r="L87" s="255">
        <f t="shared" ref="L87:T87" si="0">L82+L83+L84+L85</f>
        <v>30405.52753500054</v>
      </c>
      <c r="M87" s="255">
        <f t="shared" si="0"/>
        <v>43982.658070560894</v>
      </c>
      <c r="N87" s="255">
        <f t="shared" si="0"/>
        <v>42557.006556857901</v>
      </c>
      <c r="O87" s="255">
        <f t="shared" si="0"/>
        <v>38908.630961011571</v>
      </c>
      <c r="P87" s="255">
        <f t="shared" si="0"/>
        <v>35323.282445682766</v>
      </c>
      <c r="Q87" s="255">
        <f t="shared" si="0"/>
        <v>58574.227942973142</v>
      </c>
      <c r="R87" s="255">
        <f t="shared" si="0"/>
        <v>58544.708890850306</v>
      </c>
      <c r="S87" s="255">
        <f t="shared" si="0"/>
        <v>58528.917294792889</v>
      </c>
      <c r="T87" s="255">
        <f t="shared" si="0"/>
        <v>58545.174648263142</v>
      </c>
      <c r="U87" s="255">
        <f>T87*(1+I72)/(I78-I72)</f>
        <v>314701.49493932916</v>
      </c>
    </row>
    <row r="88" spans="4:21" x14ac:dyDescent="0.2">
      <c r="D88" s="257"/>
      <c r="E88" s="257"/>
      <c r="F88" s="257"/>
      <c r="G88" s="257"/>
      <c r="H88" s="257"/>
      <c r="I88" s="258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</row>
    <row r="89" spans="4:21" x14ac:dyDescent="0.2">
      <c r="D89" s="260" t="s">
        <v>457</v>
      </c>
      <c r="E89" s="257"/>
      <c r="F89" s="257"/>
      <c r="G89" s="257"/>
      <c r="H89" s="257"/>
      <c r="I89" s="258"/>
      <c r="J89" s="261">
        <v>1</v>
      </c>
      <c r="K89" s="261">
        <v>2</v>
      </c>
      <c r="L89" s="261">
        <v>3</v>
      </c>
      <c r="M89" s="261">
        <v>4</v>
      </c>
      <c r="N89" s="261">
        <v>5</v>
      </c>
      <c r="O89" s="261">
        <v>6</v>
      </c>
      <c r="P89" s="261">
        <v>7</v>
      </c>
      <c r="Q89" s="261">
        <v>8</v>
      </c>
      <c r="R89" s="261">
        <v>9</v>
      </c>
      <c r="S89" s="261">
        <v>10</v>
      </c>
      <c r="T89" s="261">
        <v>11</v>
      </c>
      <c r="U89" s="259"/>
    </row>
    <row r="91" spans="4:21" x14ac:dyDescent="0.2">
      <c r="D91" s="14" t="s">
        <v>456</v>
      </c>
      <c r="E91" s="14"/>
      <c r="F91" s="14"/>
      <c r="G91" s="14"/>
      <c r="H91" s="14"/>
      <c r="I91" s="256"/>
      <c r="J91" s="262">
        <f>J87/(1+$I$78)^J89</f>
        <v>-18306.650925112554</v>
      </c>
      <c r="K91" s="262">
        <f t="shared" ref="K91:U91" si="1">K87/(1+$I$78)^K89</f>
        <v>22945.161325356243</v>
      </c>
      <c r="L91" s="262">
        <f t="shared" si="1"/>
        <v>16437.663569541135</v>
      </c>
      <c r="M91" s="262">
        <f t="shared" si="1"/>
        <v>19370.085234131602</v>
      </c>
      <c r="N91" s="262">
        <f t="shared" si="1"/>
        <v>15268.052573009896</v>
      </c>
      <c r="O91" s="262">
        <f t="shared" si="1"/>
        <v>11371.585978237956</v>
      </c>
      <c r="P91" s="262">
        <f t="shared" si="1"/>
        <v>8410.0515565004553</v>
      </c>
      <c r="Q91" s="262">
        <f t="shared" si="1"/>
        <v>11360.741864874484</v>
      </c>
      <c r="R91" s="262">
        <f t="shared" si="1"/>
        <v>9250.1821523023918</v>
      </c>
      <c r="S91" s="262">
        <f t="shared" si="1"/>
        <v>7533.479992748209</v>
      </c>
      <c r="T91" s="262">
        <f t="shared" si="1"/>
        <v>6138.7333565384251</v>
      </c>
      <c r="U91" s="262">
        <f>U87/(1+$I$78)^T89</f>
        <v>32997.912739062616</v>
      </c>
    </row>
    <row r="94" spans="4:21" ht="15.75" thickBot="1" x14ac:dyDescent="0.25"/>
    <row r="95" spans="4:21" x14ac:dyDescent="0.2">
      <c r="D95" s="263" t="s">
        <v>458</v>
      </c>
      <c r="E95" s="264"/>
      <c r="F95" s="264"/>
      <c r="G95" s="264"/>
      <c r="H95" s="264"/>
      <c r="I95" s="265">
        <f>SUM(J91:U91)</f>
        <v>142776.99941719088</v>
      </c>
      <c r="K95" s="274" t="s">
        <v>462</v>
      </c>
      <c r="L95" s="275"/>
      <c r="M95" s="275"/>
      <c r="N95" s="275"/>
      <c r="O95" s="275"/>
      <c r="P95" s="276"/>
    </row>
    <row r="96" spans="4:21" x14ac:dyDescent="0.2">
      <c r="D96" s="266" t="s">
        <v>459</v>
      </c>
      <c r="E96" s="260"/>
      <c r="F96" s="260"/>
      <c r="G96" s="260"/>
      <c r="H96" s="260"/>
      <c r="I96" s="269">
        <f>Modelo!K250</f>
        <v>51000</v>
      </c>
      <c r="K96" s="266"/>
      <c r="L96" s="260"/>
      <c r="M96" s="260"/>
      <c r="N96" s="260"/>
      <c r="O96" s="260"/>
      <c r="P96" s="277"/>
    </row>
    <row r="97" spans="4:16" x14ac:dyDescent="0.2">
      <c r="D97" s="266" t="s">
        <v>460</v>
      </c>
      <c r="E97" s="260"/>
      <c r="F97" s="260"/>
      <c r="G97" s="260"/>
      <c r="H97" s="260"/>
      <c r="I97" s="270">
        <f>Modelo!J170</f>
        <v>0</v>
      </c>
      <c r="K97" s="278">
        <f>I95</f>
        <v>142776.99941719088</v>
      </c>
      <c r="L97" s="279">
        <f>M97-0.5%</f>
        <v>0.2175</v>
      </c>
      <c r="M97" s="279">
        <f>N97-0.5%</f>
        <v>0.2225</v>
      </c>
      <c r="N97" s="279">
        <v>0.22750000000000001</v>
      </c>
      <c r="O97" s="279">
        <f>N97+0.5%</f>
        <v>0.23250000000000001</v>
      </c>
      <c r="P97" s="280">
        <f>O97+0.5%</f>
        <v>0.23750000000000002</v>
      </c>
    </row>
    <row r="98" spans="4:16" ht="15.75" thickBot="1" x14ac:dyDescent="0.25">
      <c r="D98" s="267" t="s">
        <v>461</v>
      </c>
      <c r="E98" s="268"/>
      <c r="F98" s="268"/>
      <c r="G98" s="268"/>
      <c r="H98" s="268"/>
      <c r="I98" s="271">
        <f>I95+I96</f>
        <v>193776.99941719088</v>
      </c>
      <c r="K98" s="281">
        <f>K99+0.2%</f>
        <v>3.9000000000000007E-2</v>
      </c>
      <c r="L98" s="282">
        <f t="dataTable" ref="L98:P103" dt2D="1" dtr="1" r1="I78" r2="I72"/>
        <v>154598.31019233755</v>
      </c>
      <c r="M98" s="282">
        <v>148967.77511233059</v>
      </c>
      <c r="N98" s="282">
        <v>143653.93575275014</v>
      </c>
      <c r="O98" s="282">
        <v>138631.85682650155</v>
      </c>
      <c r="P98" s="283">
        <v>133879.12596777428</v>
      </c>
    </row>
    <row r="99" spans="4:16" x14ac:dyDescent="0.2">
      <c r="K99" s="281">
        <f>K100+0.2%</f>
        <v>3.7000000000000005E-2</v>
      </c>
      <c r="L99" s="282">
        <v>154090.48297202654</v>
      </c>
      <c r="M99" s="282">
        <v>148506.40183030107</v>
      </c>
      <c r="N99" s="282">
        <v>143234.08033748303</v>
      </c>
      <c r="O99" s="282">
        <v>138249.18711321737</v>
      </c>
      <c r="P99" s="283">
        <v>133529.82954540098</v>
      </c>
    </row>
    <row r="100" spans="4:16" x14ac:dyDescent="0.2">
      <c r="K100" s="284">
        <f>3.5%</f>
        <v>3.5000000000000003E-2</v>
      </c>
      <c r="L100" s="282">
        <v>153593.78621133877</v>
      </c>
      <c r="M100" s="282">
        <v>148054.87117828816</v>
      </c>
      <c r="N100" s="282">
        <v>142822.94919058515</v>
      </c>
      <c r="O100" s="282">
        <v>137874.26767260727</v>
      </c>
      <c r="P100" s="283">
        <v>133187.43280544496</v>
      </c>
    </row>
    <row r="101" spans="4:16" x14ac:dyDescent="0.2">
      <c r="K101" s="281">
        <f>K100-0.2%</f>
        <v>3.3000000000000002E-2</v>
      </c>
      <c r="L101" s="282">
        <v>153107.85794410767</v>
      </c>
      <c r="M101" s="282">
        <v>147612.87151629134</v>
      </c>
      <c r="N101" s="282">
        <v>142420.27318295505</v>
      </c>
      <c r="O101" s="282">
        <v>137506.86541376379</v>
      </c>
      <c r="P101" s="283">
        <v>132851.73331223623</v>
      </c>
    </row>
    <row r="102" spans="4:16" x14ac:dyDescent="0.2">
      <c r="K102" s="281">
        <f>K101-0.2%</f>
        <v>3.1E-2</v>
      </c>
      <c r="L102" s="282">
        <v>152632.35173086543</v>
      </c>
      <c r="M102" s="282">
        <v>147180.10422321357</v>
      </c>
      <c r="N102" s="282">
        <v>142025.79414240143</v>
      </c>
      <c r="O102" s="282">
        <v>137146.75650000904</v>
      </c>
      <c r="P102" s="283">
        <v>132522.53647264896</v>
      </c>
    </row>
    <row r="103" spans="4:16" ht="15.75" thickBot="1" x14ac:dyDescent="0.25">
      <c r="K103" s="285">
        <f>K102-0.2%</f>
        <v>2.8999999999999998E-2</v>
      </c>
      <c r="L103" s="286">
        <v>152166.93583514553</v>
      </c>
      <c r="M103" s="286">
        <v>146756.28302404951</v>
      </c>
      <c r="N103" s="286">
        <v>141639.26430165744</v>
      </c>
      <c r="O103" s="286">
        <v>136793.72589414133</v>
      </c>
      <c r="P103" s="287">
        <v>132199.65515996027</v>
      </c>
    </row>
  </sheetData>
  <conditionalFormatting sqref="L98:P103">
    <cfRule type="colorScale" priority="1">
      <colorScale>
        <cfvo type="min"/>
        <cfvo type="max"/>
        <color theme="3" tint="0.499984740745262"/>
        <color theme="3" tint="9.9978637043366805E-2"/>
      </colorScale>
    </cfRule>
    <cfRule type="colorScale" priority="2">
      <colorScale>
        <cfvo type="min"/>
        <cfvo type="max"/>
        <color theme="3" tint="0.89999084444715716"/>
        <color theme="3" tint="0.249977111117893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EB25-B543-3A45-9877-A5F918A79940}">
  <dimension ref="A1:D32"/>
  <sheetViews>
    <sheetView topLeftCell="A12" workbookViewId="0">
      <selection activeCell="B7" sqref="B7"/>
    </sheetView>
  </sheetViews>
  <sheetFormatPr defaultColWidth="8.7421875" defaultRowHeight="15" x14ac:dyDescent="0.2"/>
  <cols>
    <col min="1" max="1" width="38.3359375" customWidth="1"/>
    <col min="2" max="2" width="21.65625" customWidth="1"/>
    <col min="3" max="3" width="46.6796875" customWidth="1"/>
    <col min="4" max="4" width="25.01953125" customWidth="1"/>
  </cols>
  <sheetData>
    <row r="1" spans="1:3" ht="18.75" x14ac:dyDescent="0.25">
      <c r="A1" s="52" t="s">
        <v>394</v>
      </c>
    </row>
    <row r="2" spans="1:3" x14ac:dyDescent="0.2">
      <c r="A2" s="53" t="s">
        <v>176</v>
      </c>
    </row>
    <row r="4" spans="1:3" x14ac:dyDescent="0.2">
      <c r="A4" s="54" t="s">
        <v>177</v>
      </c>
      <c r="B4" s="55"/>
      <c r="C4" s="55"/>
    </row>
    <row r="5" spans="1:3" x14ac:dyDescent="0.2">
      <c r="A5" s="59" t="s">
        <v>178</v>
      </c>
      <c r="B5" s="60" t="s">
        <v>179</v>
      </c>
      <c r="C5" s="59" t="s">
        <v>180</v>
      </c>
    </row>
    <row r="6" spans="1:3" x14ac:dyDescent="0.2">
      <c r="A6" s="61" t="s">
        <v>181</v>
      </c>
      <c r="B6" s="67">
        <f>Modelo!M200</f>
        <v>522738.64</v>
      </c>
      <c r="C6" s="61"/>
    </row>
    <row r="7" spans="1:3" x14ac:dyDescent="0.2">
      <c r="A7" s="61" t="s">
        <v>182</v>
      </c>
      <c r="B7" s="67">
        <f>-$K$214</f>
        <v>0</v>
      </c>
      <c r="C7" s="61" t="s">
        <v>183</v>
      </c>
    </row>
    <row r="8" spans="1:3" x14ac:dyDescent="0.2">
      <c r="A8" s="63" t="s">
        <v>33</v>
      </c>
      <c r="B8" s="64">
        <f>B6-B7</f>
        <v>522738.64</v>
      </c>
      <c r="C8" s="61"/>
    </row>
    <row r="9" spans="1:3" x14ac:dyDescent="0.2">
      <c r="A9" s="61" t="s">
        <v>184</v>
      </c>
      <c r="B9" s="62"/>
      <c r="C9" s="61" t="s">
        <v>185</v>
      </c>
    </row>
    <row r="10" spans="1:3" x14ac:dyDescent="0.2">
      <c r="A10" s="63" t="s">
        <v>186</v>
      </c>
      <c r="B10" s="64">
        <f>B8-B9</f>
        <v>522738.64</v>
      </c>
      <c r="C10" s="61"/>
    </row>
    <row r="11" spans="1:3" x14ac:dyDescent="0.2">
      <c r="A11" s="61" t="s">
        <v>187</v>
      </c>
      <c r="B11" s="62"/>
      <c r="C11" s="61" t="s">
        <v>188</v>
      </c>
    </row>
    <row r="12" spans="1:3" x14ac:dyDescent="0.2">
      <c r="A12" s="63" t="s">
        <v>189</v>
      </c>
      <c r="B12" s="62"/>
      <c r="C12" s="61" t="s">
        <v>190</v>
      </c>
    </row>
    <row r="13" spans="1:3" x14ac:dyDescent="0.2">
      <c r="A13" s="61" t="s">
        <v>191</v>
      </c>
      <c r="B13" s="62" t="s">
        <v>426</v>
      </c>
      <c r="C13" s="61" t="s">
        <v>192</v>
      </c>
    </row>
    <row r="14" spans="1:3" x14ac:dyDescent="0.2">
      <c r="A14" s="65" t="s">
        <v>193</v>
      </c>
      <c r="B14" s="66" t="e">
        <f>B10+B11-B12-B13</f>
        <v>#VALUE!</v>
      </c>
      <c r="C14" s="61"/>
    </row>
    <row r="15" spans="1:3" x14ac:dyDescent="0.2">
      <c r="A15" s="61" t="s">
        <v>194</v>
      </c>
      <c r="B15" s="62">
        <v>240000</v>
      </c>
      <c r="C15" s="61" t="s">
        <v>195</v>
      </c>
    </row>
    <row r="16" spans="1:3" x14ac:dyDescent="0.2">
      <c r="A16" s="63" t="s">
        <v>196</v>
      </c>
      <c r="B16" s="64" t="e">
        <f>MAX(B14-B15,0)</f>
        <v>#VALUE!</v>
      </c>
      <c r="C16" s="61"/>
    </row>
    <row r="19" spans="1:4" x14ac:dyDescent="0.2">
      <c r="A19" s="54" t="s">
        <v>197</v>
      </c>
      <c r="B19" s="55"/>
      <c r="C19" s="55"/>
      <c r="D19" s="55"/>
    </row>
    <row r="20" spans="1:4" x14ac:dyDescent="0.2">
      <c r="A20" s="59" t="s">
        <v>198</v>
      </c>
      <c r="B20" s="60" t="s">
        <v>199</v>
      </c>
      <c r="C20" s="60" t="s">
        <v>200</v>
      </c>
      <c r="D20" s="60" t="s">
        <v>201</v>
      </c>
    </row>
    <row r="21" spans="1:4" x14ac:dyDescent="0.2">
      <c r="A21" s="61" t="s">
        <v>202</v>
      </c>
      <c r="B21" s="67" t="e">
        <f>B14</f>
        <v>#VALUE!</v>
      </c>
      <c r="C21" s="68">
        <v>0.15</v>
      </c>
      <c r="D21" s="69" t="e">
        <f t="shared" ref="D21:D27" si="0">B21*C21</f>
        <v>#VALUE!</v>
      </c>
    </row>
    <row r="22" spans="1:4" x14ac:dyDescent="0.2">
      <c r="A22" s="61" t="s">
        <v>203</v>
      </c>
      <c r="B22" s="67" t="e">
        <f>B16</f>
        <v>#VALUE!</v>
      </c>
      <c r="C22" s="68">
        <v>0.1</v>
      </c>
      <c r="D22" s="69" t="e">
        <f t="shared" si="0"/>
        <v>#VALUE!</v>
      </c>
    </row>
    <row r="23" spans="1:4" x14ac:dyDescent="0.2">
      <c r="A23" s="61" t="s">
        <v>204</v>
      </c>
      <c r="B23" s="67" t="e">
        <f>B14</f>
        <v>#VALUE!</v>
      </c>
      <c r="C23" s="68">
        <v>0.09</v>
      </c>
      <c r="D23" s="69" t="e">
        <f t="shared" si="0"/>
        <v>#VALUE!</v>
      </c>
    </row>
    <row r="24" spans="1:4" x14ac:dyDescent="0.2">
      <c r="A24" s="61" t="s">
        <v>205</v>
      </c>
      <c r="B24" s="67">
        <f>B6</f>
        <v>522738.64</v>
      </c>
      <c r="C24" s="70">
        <v>1.6500000000000001E-2</v>
      </c>
      <c r="D24" s="69">
        <f t="shared" si="0"/>
        <v>8625.1875600000003</v>
      </c>
    </row>
    <row r="25" spans="1:4" x14ac:dyDescent="0.2">
      <c r="A25" s="61" t="s">
        <v>206</v>
      </c>
      <c r="B25" s="67">
        <f>B6</f>
        <v>522738.64</v>
      </c>
      <c r="C25" s="70">
        <v>7.5999999999999998E-2</v>
      </c>
      <c r="D25" s="69">
        <f t="shared" si="0"/>
        <v>39728.136639999997</v>
      </c>
    </row>
    <row r="26" spans="1:4" x14ac:dyDescent="0.2">
      <c r="A26" s="61" t="s">
        <v>270</v>
      </c>
      <c r="B26" s="67">
        <f>B8</f>
        <v>522738.64</v>
      </c>
      <c r="C26" s="70">
        <v>0.05</v>
      </c>
      <c r="D26" s="69">
        <f t="shared" si="0"/>
        <v>26136.932000000001</v>
      </c>
    </row>
    <row r="27" spans="1:4" x14ac:dyDescent="0.2">
      <c r="A27" s="61" t="s">
        <v>207</v>
      </c>
      <c r="B27" s="67">
        <f>B8</f>
        <v>522738.64</v>
      </c>
      <c r="C27" s="70">
        <v>1E-3</v>
      </c>
      <c r="D27" s="69">
        <f t="shared" si="0"/>
        <v>522.73864000000003</v>
      </c>
    </row>
    <row r="28" spans="1:4" x14ac:dyDescent="0.2">
      <c r="A28" s="61" t="s">
        <v>208</v>
      </c>
      <c r="B28" s="67">
        <f>B8</f>
        <v>522738.64</v>
      </c>
      <c r="C28" s="214" t="s">
        <v>388</v>
      </c>
      <c r="D28" s="69">
        <f>B28*C28</f>
        <v>4704.6477599999998</v>
      </c>
    </row>
    <row r="29" spans="1:4" x14ac:dyDescent="0.2">
      <c r="A29" s="65" t="s">
        <v>209</v>
      </c>
      <c r="B29" s="61"/>
      <c r="C29" s="61"/>
      <c r="D29" s="66" t="e">
        <f>SUM(D21:D28)</f>
        <v>#VALUE!</v>
      </c>
    </row>
    <row r="31" spans="1:4" x14ac:dyDescent="0.2">
      <c r="A31" t="s">
        <v>210</v>
      </c>
      <c r="D31" s="58" t="str">
        <f>IFERROR(D29/B6,"-")</f>
        <v>-</v>
      </c>
    </row>
    <row r="32" spans="1:4" x14ac:dyDescent="0.2">
      <c r="A32" t="s">
        <v>211</v>
      </c>
      <c r="D32" s="57" t="e">
        <f>B10-D29</f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2147-6381-3F43-8555-FBCC270EF743}">
  <dimension ref="A1:N37"/>
  <sheetViews>
    <sheetView topLeftCell="A18" zoomScale="98" workbookViewId="0">
      <selection activeCell="B40" sqref="B40"/>
    </sheetView>
  </sheetViews>
  <sheetFormatPr defaultColWidth="8.7421875" defaultRowHeight="15" x14ac:dyDescent="0.2"/>
  <cols>
    <col min="1" max="1" width="43.71875" customWidth="1"/>
    <col min="2" max="2" width="17.484375" customWidth="1"/>
    <col min="3" max="3" width="50.04296875" customWidth="1"/>
    <col min="4" max="4" width="22.46484375" customWidth="1"/>
    <col min="5" max="5" width="27.44140625" customWidth="1"/>
    <col min="6" max="11" width="17.484375" customWidth="1"/>
    <col min="12" max="12" width="23.26953125" customWidth="1"/>
    <col min="13" max="13" width="24.6171875" customWidth="1"/>
    <col min="14" max="14" width="23.13671875" customWidth="1"/>
  </cols>
  <sheetData>
    <row r="1" spans="1:6" ht="18.75" x14ac:dyDescent="0.25">
      <c r="A1" s="52" t="s">
        <v>212</v>
      </c>
    </row>
    <row r="2" spans="1:6" x14ac:dyDescent="0.2">
      <c r="A2" s="53" t="s">
        <v>213</v>
      </c>
    </row>
    <row r="4" spans="1:6" x14ac:dyDescent="0.2">
      <c r="A4" s="54" t="s">
        <v>214</v>
      </c>
    </row>
    <row r="5" spans="1:6" x14ac:dyDescent="0.2">
      <c r="A5" s="59" t="s">
        <v>215</v>
      </c>
      <c r="B5" s="60" t="s">
        <v>216</v>
      </c>
      <c r="C5" s="60" t="s">
        <v>217</v>
      </c>
      <c r="D5" s="60" t="s">
        <v>218</v>
      </c>
      <c r="E5" s="60" t="s">
        <v>219</v>
      </c>
    </row>
    <row r="6" spans="1:6" x14ac:dyDescent="0.2">
      <c r="A6" s="61" t="s">
        <v>220</v>
      </c>
      <c r="B6" s="67">
        <f>Modelo!K200/2</f>
        <v>81200</v>
      </c>
      <c r="C6" s="67" t="e">
        <f>-#REF!/2</f>
        <v>#REF!</v>
      </c>
      <c r="D6" s="69" t="e">
        <f>B6-C6</f>
        <v>#REF!</v>
      </c>
      <c r="E6" s="62">
        <v>60000</v>
      </c>
      <c r="F6" s="53" t="s">
        <v>221</v>
      </c>
    </row>
    <row r="7" spans="1:6" x14ac:dyDescent="0.2">
      <c r="A7" s="61" t="s">
        <v>222</v>
      </c>
      <c r="B7" s="67">
        <f>B6</f>
        <v>81200</v>
      </c>
      <c r="C7" s="67" t="e">
        <f>-#REF!/2</f>
        <v>#REF!</v>
      </c>
      <c r="D7" s="69" t="e">
        <f>B7-C7</f>
        <v>#REF!</v>
      </c>
      <c r="E7" s="62">
        <v>60000</v>
      </c>
    </row>
    <row r="8" spans="1:6" x14ac:dyDescent="0.2">
      <c r="A8" s="61" t="s">
        <v>223</v>
      </c>
      <c r="B8" s="67">
        <f>Modelo!L200/2</f>
        <v>180169.32</v>
      </c>
      <c r="C8" s="62"/>
      <c r="D8" s="69">
        <f>B8-C8</f>
        <v>180169.32</v>
      </c>
      <c r="E8" s="62">
        <v>60000</v>
      </c>
    </row>
    <row r="9" spans="1:6" x14ac:dyDescent="0.2">
      <c r="A9" s="61" t="s">
        <v>224</v>
      </c>
      <c r="B9" s="67">
        <f>B8</f>
        <v>180169.32</v>
      </c>
      <c r="C9" s="62"/>
      <c r="D9" s="69">
        <f>B9-C9</f>
        <v>180169.32</v>
      </c>
      <c r="E9" s="62">
        <v>60000</v>
      </c>
    </row>
    <row r="10" spans="1:6" x14ac:dyDescent="0.2">
      <c r="A10" s="65" t="s">
        <v>225</v>
      </c>
      <c r="B10" s="66">
        <f>SUM(B6:B9)</f>
        <v>522738.64</v>
      </c>
      <c r="C10" s="66" t="e">
        <f>SUM(C6:C9)</f>
        <v>#REF!</v>
      </c>
      <c r="D10" s="66" t="e">
        <f>SUM(D6:D9)</f>
        <v>#REF!</v>
      </c>
      <c r="E10" s="66">
        <f>SUM(E6:E9)</f>
        <v>240000</v>
      </c>
    </row>
    <row r="13" spans="1:6" x14ac:dyDescent="0.2">
      <c r="A13" s="54" t="s">
        <v>226</v>
      </c>
    </row>
    <row r="14" spans="1:6" x14ac:dyDescent="0.2">
      <c r="A14" s="59" t="s">
        <v>227</v>
      </c>
      <c r="B14" s="60" t="s">
        <v>200</v>
      </c>
      <c r="C14" s="59" t="s">
        <v>180</v>
      </c>
    </row>
    <row r="15" spans="1:6" x14ac:dyDescent="0.2">
      <c r="A15" s="61" t="s">
        <v>228</v>
      </c>
      <c r="B15" s="70">
        <v>0.32</v>
      </c>
      <c r="C15" s="61" t="s">
        <v>229</v>
      </c>
    </row>
    <row r="16" spans="1:6" x14ac:dyDescent="0.2">
      <c r="A16" s="61" t="s">
        <v>230</v>
      </c>
      <c r="B16" s="70">
        <v>0.32</v>
      </c>
      <c r="C16" s="61" t="s">
        <v>231</v>
      </c>
    </row>
    <row r="17" spans="1:14" x14ac:dyDescent="0.2">
      <c r="A17" s="61" t="s">
        <v>202</v>
      </c>
      <c r="B17" s="70">
        <v>0.15</v>
      </c>
      <c r="C17" s="61"/>
    </row>
    <row r="18" spans="1:14" x14ac:dyDescent="0.2">
      <c r="A18" s="61" t="s">
        <v>203</v>
      </c>
      <c r="B18" s="70">
        <v>0.1</v>
      </c>
      <c r="C18" s="61" t="s">
        <v>232</v>
      </c>
    </row>
    <row r="19" spans="1:14" x14ac:dyDescent="0.2">
      <c r="A19" s="61" t="s">
        <v>204</v>
      </c>
      <c r="B19" s="70">
        <v>0.09</v>
      </c>
      <c r="C19" s="61"/>
    </row>
    <row r="20" spans="1:14" x14ac:dyDescent="0.2">
      <c r="A20" s="61" t="s">
        <v>233</v>
      </c>
      <c r="B20" s="70">
        <v>6.4999999999999997E-3</v>
      </c>
      <c r="C20" s="61" t="s">
        <v>234</v>
      </c>
    </row>
    <row r="21" spans="1:14" x14ac:dyDescent="0.2">
      <c r="A21" s="61" t="s">
        <v>235</v>
      </c>
      <c r="B21" s="70">
        <v>0.03</v>
      </c>
      <c r="C21" s="61" t="s">
        <v>234</v>
      </c>
    </row>
    <row r="22" spans="1:14" x14ac:dyDescent="0.2">
      <c r="A22" s="61" t="s">
        <v>236</v>
      </c>
      <c r="B22" s="70">
        <v>0.05</v>
      </c>
      <c r="C22" s="61"/>
    </row>
    <row r="23" spans="1:14" x14ac:dyDescent="0.2">
      <c r="A23" s="61" t="s">
        <v>237</v>
      </c>
      <c r="B23" s="214" t="s">
        <v>389</v>
      </c>
      <c r="C23" s="61" t="s">
        <v>238</v>
      </c>
    </row>
    <row r="24" spans="1:14" x14ac:dyDescent="0.2">
      <c r="A24" s="61" t="s">
        <v>239</v>
      </c>
      <c r="B24" s="214" t="s">
        <v>388</v>
      </c>
      <c r="C24" s="61" t="s">
        <v>238</v>
      </c>
    </row>
    <row r="27" spans="1:14" x14ac:dyDescent="0.2">
      <c r="A27" s="54" t="s">
        <v>240</v>
      </c>
    </row>
    <row r="28" spans="1:14" ht="30" customHeight="1" x14ac:dyDescent="0.2">
      <c r="A28" s="73" t="s">
        <v>215</v>
      </c>
      <c r="B28" s="74" t="s">
        <v>241</v>
      </c>
      <c r="C28" s="74" t="s">
        <v>242</v>
      </c>
      <c r="D28" s="74" t="s">
        <v>202</v>
      </c>
      <c r="E28" s="74" t="s">
        <v>243</v>
      </c>
      <c r="F28" s="74" t="s">
        <v>244</v>
      </c>
      <c r="G28" s="74" t="s">
        <v>245</v>
      </c>
      <c r="H28" s="74" t="s">
        <v>204</v>
      </c>
      <c r="I28" s="74" t="s">
        <v>246</v>
      </c>
      <c r="J28" s="74" t="s">
        <v>247</v>
      </c>
      <c r="K28" s="74" t="s">
        <v>236</v>
      </c>
      <c r="L28" s="74" t="s">
        <v>237</v>
      </c>
      <c r="M28" s="74" t="s">
        <v>239</v>
      </c>
      <c r="N28" s="75" t="s">
        <v>248</v>
      </c>
    </row>
    <row r="29" spans="1:14" x14ac:dyDescent="0.2">
      <c r="A29" s="61" t="s">
        <v>220</v>
      </c>
      <c r="B29" s="67">
        <f>B6</f>
        <v>81200</v>
      </c>
      <c r="C29" s="69">
        <f>B29*$B$15</f>
        <v>25984</v>
      </c>
      <c r="D29" s="69">
        <f>C29*$B$17</f>
        <v>3897.6</v>
      </c>
      <c r="E29" s="69">
        <f>IF(C29&gt;E6,(C29-E6)*$B$18,0)</f>
        <v>0</v>
      </c>
      <c r="F29" s="69">
        <f>D29+E29</f>
        <v>3897.6</v>
      </c>
      <c r="G29" s="69">
        <f>B29*$B$16</f>
        <v>25984</v>
      </c>
      <c r="H29" s="69">
        <f>G29*$B$19</f>
        <v>2338.56</v>
      </c>
      <c r="I29" s="69">
        <f>B29*$B$20</f>
        <v>527.79999999999995</v>
      </c>
      <c r="J29" s="69">
        <f>B29*$B$21</f>
        <v>2436</v>
      </c>
      <c r="K29" s="69">
        <f>B29*$B$22</f>
        <v>4060</v>
      </c>
      <c r="L29" s="69">
        <f>B29*$B$23</f>
        <v>81.2</v>
      </c>
      <c r="M29" s="69">
        <f>B29*$B$24</f>
        <v>730.8</v>
      </c>
      <c r="N29" s="64">
        <f>F29+H29+I29+J29+K29+L29+M29</f>
        <v>14071.96</v>
      </c>
    </row>
    <row r="30" spans="1:14" x14ac:dyDescent="0.2">
      <c r="A30" s="61" t="s">
        <v>222</v>
      </c>
      <c r="B30" s="67">
        <f>B7</f>
        <v>81200</v>
      </c>
      <c r="C30" s="69">
        <f>B30*$B$15</f>
        <v>25984</v>
      </c>
      <c r="D30" s="69">
        <f>C30*$B$17</f>
        <v>3897.6</v>
      </c>
      <c r="E30" s="69">
        <f>IF(C30&gt;E7,(C30-E7)*$B$18,0)</f>
        <v>0</v>
      </c>
      <c r="F30" s="69">
        <f>D30+E30</f>
        <v>3897.6</v>
      </c>
      <c r="G30" s="69">
        <f>B30*$B$16</f>
        <v>25984</v>
      </c>
      <c r="H30" s="69">
        <f>G30*$B$19</f>
        <v>2338.56</v>
      </c>
      <c r="I30" s="69">
        <f>B30*$B$20</f>
        <v>527.79999999999995</v>
      </c>
      <c r="J30" s="69">
        <f>B30*$B$21</f>
        <v>2436</v>
      </c>
      <c r="K30" s="69">
        <f>B30*$B$22</f>
        <v>4060</v>
      </c>
      <c r="L30" s="69">
        <f>B30*B23</f>
        <v>81.2</v>
      </c>
      <c r="M30" s="69">
        <f>B30*$B$24</f>
        <v>730.8</v>
      </c>
      <c r="N30" s="64">
        <f>F30+H30+I30+J30+K30+L30+M30</f>
        <v>14071.96</v>
      </c>
    </row>
    <row r="31" spans="1:14" x14ac:dyDescent="0.2">
      <c r="A31" s="61" t="s">
        <v>223</v>
      </c>
      <c r="B31" s="67">
        <f>B8</f>
        <v>180169.32</v>
      </c>
      <c r="C31" s="69">
        <f>B31*$B$15</f>
        <v>57654.182400000005</v>
      </c>
      <c r="D31" s="69">
        <f>C31*$B$17</f>
        <v>8648.1273600000004</v>
      </c>
      <c r="E31" s="69">
        <f>IF(C31&gt;E8,(C31-E8)*$B$18,0)</f>
        <v>0</v>
      </c>
      <c r="F31" s="69">
        <f>D31+E31</f>
        <v>8648.1273600000004</v>
      </c>
      <c r="G31" s="69">
        <f>B31*$B$16</f>
        <v>57654.182400000005</v>
      </c>
      <c r="H31" s="69">
        <f>G31*$B$19</f>
        <v>5188.8764160000001</v>
      </c>
      <c r="I31" s="69">
        <f>B31*$B$20</f>
        <v>1171.10058</v>
      </c>
      <c r="J31" s="69">
        <f>B31*$B$21</f>
        <v>5405.0796</v>
      </c>
      <c r="K31" s="69">
        <f>B31*$B$22</f>
        <v>9008.4660000000003</v>
      </c>
      <c r="L31" s="69">
        <f>B31*$B$23</f>
        <v>180.16932</v>
      </c>
      <c r="M31" s="69">
        <f>B31*$B$24</f>
        <v>1621.52388</v>
      </c>
      <c r="N31" s="64">
        <f>F31+H31+I31+J31+K31+L31+M31</f>
        <v>31223.343156000003</v>
      </c>
    </row>
    <row r="32" spans="1:14" x14ac:dyDescent="0.2">
      <c r="A32" s="61" t="s">
        <v>224</v>
      </c>
      <c r="B32" s="67">
        <f>B9</f>
        <v>180169.32</v>
      </c>
      <c r="C32" s="69">
        <f>B32*$B$15</f>
        <v>57654.182400000005</v>
      </c>
      <c r="D32" s="69">
        <f>C32*$B$17</f>
        <v>8648.1273600000004</v>
      </c>
      <c r="E32" s="69">
        <f>IF(C32&gt;E9,(C32-E9)*$B$18,0)</f>
        <v>0</v>
      </c>
      <c r="F32" s="69">
        <f>D32+E32</f>
        <v>8648.1273600000004</v>
      </c>
      <c r="G32" s="69">
        <f>B32*$B$16</f>
        <v>57654.182400000005</v>
      </c>
      <c r="H32" s="69">
        <f>G32*$B$19</f>
        <v>5188.8764160000001</v>
      </c>
      <c r="I32" s="69">
        <f>B32*$B$20</f>
        <v>1171.10058</v>
      </c>
      <c r="J32" s="69">
        <f>B32*$B$21</f>
        <v>5405.0796</v>
      </c>
      <c r="K32" s="69">
        <f>B32*$B$22</f>
        <v>9008.4660000000003</v>
      </c>
      <c r="L32" s="69">
        <f>B32*$B$23</f>
        <v>180.16932</v>
      </c>
      <c r="M32" s="69">
        <f>B32*$B$24</f>
        <v>1621.52388</v>
      </c>
      <c r="N32" s="64">
        <f>F32+H32+I32+J32+K32+L32+M32</f>
        <v>31223.343156000003</v>
      </c>
    </row>
    <row r="33" spans="1:14" x14ac:dyDescent="0.2">
      <c r="A33" s="65" t="s">
        <v>225</v>
      </c>
      <c r="B33" s="72">
        <f t="shared" ref="B33:K33" si="0">SUM(B29:B32)</f>
        <v>522738.64</v>
      </c>
      <c r="C33" s="72">
        <f t="shared" si="0"/>
        <v>167276.36480000001</v>
      </c>
      <c r="D33" s="72">
        <f t="shared" si="0"/>
        <v>25091.454720000002</v>
      </c>
      <c r="E33" s="72">
        <f t="shared" si="0"/>
        <v>0</v>
      </c>
      <c r="F33" s="72">
        <f t="shared" si="0"/>
        <v>25091.454720000002</v>
      </c>
      <c r="G33" s="72">
        <f t="shared" si="0"/>
        <v>167276.36480000001</v>
      </c>
      <c r="H33" s="72">
        <f t="shared" si="0"/>
        <v>15054.872832000001</v>
      </c>
      <c r="I33" s="72">
        <f t="shared" si="0"/>
        <v>3397.80116</v>
      </c>
      <c r="J33" s="72">
        <f t="shared" si="0"/>
        <v>15682.159200000002</v>
      </c>
      <c r="K33" s="72">
        <f t="shared" si="0"/>
        <v>26136.932000000001</v>
      </c>
      <c r="L33" s="72">
        <f>SUM(L29:L32)</f>
        <v>522.73864000000003</v>
      </c>
      <c r="M33" s="72">
        <f>SUM(M29:M32)</f>
        <v>4704.6477599999998</v>
      </c>
      <c r="N33" s="72">
        <f>SUM(N29:N32)</f>
        <v>90590.606312000004</v>
      </c>
    </row>
    <row r="36" spans="1:14" x14ac:dyDescent="0.2">
      <c r="A36" t="s">
        <v>249</v>
      </c>
      <c r="B36" s="71">
        <f>IFERROR(N33/B33,"-")</f>
        <v>0.17330000000000001</v>
      </c>
    </row>
    <row r="37" spans="1:14" x14ac:dyDescent="0.2">
      <c r="A37" t="s">
        <v>250</v>
      </c>
      <c r="B37" s="56" t="e">
        <f>D10-N33</f>
        <v>#REF!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98E5-C6A4-C942-AB36-64A1E1E71536}">
  <dimension ref="A1:CB41"/>
  <sheetViews>
    <sheetView topLeftCell="A21" workbookViewId="0">
      <pane xSplit="1" topLeftCell="B21" activePane="topRight" state="frozen"/>
      <selection activeCell="A21" sqref="A21"/>
      <selection pane="topRight" activeCell="B44" sqref="B44"/>
    </sheetView>
  </sheetViews>
  <sheetFormatPr defaultColWidth="8.7421875" defaultRowHeight="15" x14ac:dyDescent="0.2"/>
  <cols>
    <col min="1" max="1" width="53.80859375" customWidth="1"/>
    <col min="2" max="3" width="20.04296875" customWidth="1"/>
    <col min="4" max="4" width="63.359375" customWidth="1"/>
    <col min="5" max="5" width="17.484375" customWidth="1"/>
    <col min="6" max="6" width="50.04296875" customWidth="1"/>
  </cols>
  <sheetData>
    <row r="1" spans="1:4" ht="18.75" x14ac:dyDescent="0.25">
      <c r="A1" s="52" t="s">
        <v>254</v>
      </c>
    </row>
    <row r="2" spans="1:4" x14ac:dyDescent="0.2">
      <c r="A2" s="53" t="s">
        <v>255</v>
      </c>
    </row>
    <row r="4" spans="1:4" x14ac:dyDescent="0.2">
      <c r="A4" s="54" t="s">
        <v>256</v>
      </c>
      <c r="B4" s="55"/>
      <c r="C4" s="55"/>
      <c r="D4" s="55"/>
    </row>
    <row r="5" spans="1:4" x14ac:dyDescent="0.2">
      <c r="A5" s="59" t="s">
        <v>257</v>
      </c>
      <c r="B5" s="60">
        <v>2027</v>
      </c>
      <c r="C5" s="60">
        <v>2028</v>
      </c>
      <c r="D5" s="73" t="s">
        <v>180</v>
      </c>
    </row>
    <row r="6" spans="1:4" x14ac:dyDescent="0.2">
      <c r="A6" s="61" t="s">
        <v>181</v>
      </c>
      <c r="B6" s="81">
        <f>Modelo!N200</f>
        <v>934592.62319608487</v>
      </c>
      <c r="C6" s="81">
        <f>Modelo!O200</f>
        <v>1158269.3183092379</v>
      </c>
      <c r="D6" s="77" t="s">
        <v>258</v>
      </c>
    </row>
    <row r="7" spans="1:4" x14ac:dyDescent="0.2">
      <c r="A7" s="61" t="s">
        <v>182</v>
      </c>
      <c r="B7" s="81"/>
      <c r="C7" s="81"/>
      <c r="D7" s="77" t="s">
        <v>259</v>
      </c>
    </row>
    <row r="8" spans="1:4" x14ac:dyDescent="0.2">
      <c r="A8" s="63" t="s">
        <v>33</v>
      </c>
      <c r="B8" s="82">
        <f>B6-B7</f>
        <v>934592.62319608487</v>
      </c>
      <c r="C8" s="82">
        <f>C6-C7</f>
        <v>1158269.3183092379</v>
      </c>
      <c r="D8" s="77"/>
    </row>
    <row r="9" spans="1:4" x14ac:dyDescent="0.2">
      <c r="A9" s="61" t="s">
        <v>184</v>
      </c>
      <c r="B9" s="81"/>
      <c r="C9" s="81"/>
      <c r="D9" s="77" t="s">
        <v>260</v>
      </c>
    </row>
    <row r="10" spans="1:4" x14ac:dyDescent="0.2">
      <c r="A10" s="63" t="s">
        <v>186</v>
      </c>
      <c r="B10" s="82">
        <f>B8-B9</f>
        <v>934592.62319608487</v>
      </c>
      <c r="C10" s="82">
        <f>C8-C9</f>
        <v>1158269.3183092379</v>
      </c>
      <c r="D10" s="77"/>
    </row>
    <row r="11" spans="1:4" x14ac:dyDescent="0.2">
      <c r="A11" s="61" t="s">
        <v>261</v>
      </c>
      <c r="B11" s="81"/>
      <c r="C11" s="81"/>
      <c r="D11" s="77" t="s">
        <v>262</v>
      </c>
    </row>
    <row r="12" spans="1:4" x14ac:dyDescent="0.2">
      <c r="A12" s="61" t="s">
        <v>189</v>
      </c>
      <c r="B12" s="81"/>
      <c r="C12" s="81"/>
      <c r="D12" s="77" t="s">
        <v>263</v>
      </c>
    </row>
    <row r="13" spans="1:4" x14ac:dyDescent="0.2">
      <c r="A13" s="61" t="s">
        <v>191</v>
      </c>
      <c r="B13" s="81"/>
      <c r="C13" s="81"/>
      <c r="D13" s="77" t="s">
        <v>264</v>
      </c>
    </row>
    <row r="14" spans="1:4" x14ac:dyDescent="0.2">
      <c r="A14" s="65" t="s">
        <v>193</v>
      </c>
      <c r="B14" s="85">
        <f>B10+B11-B12-B13</f>
        <v>934592.62319608487</v>
      </c>
      <c r="C14" s="85">
        <f>C10+C11-C12-C13</f>
        <v>1158269.3183092379</v>
      </c>
      <c r="D14" s="77"/>
    </row>
    <row r="15" spans="1:4" x14ac:dyDescent="0.2">
      <c r="C15" s="249"/>
      <c r="D15" s="79"/>
    </row>
    <row r="16" spans="1:4" x14ac:dyDescent="0.2">
      <c r="D16" s="79"/>
    </row>
    <row r="17" spans="1:80" x14ac:dyDescent="0.2">
      <c r="A17" s="54" t="s">
        <v>265</v>
      </c>
      <c r="B17" s="55"/>
      <c r="C17" s="55"/>
      <c r="D17" s="80"/>
    </row>
    <row r="18" spans="1:80" x14ac:dyDescent="0.2">
      <c r="A18" s="59" t="s">
        <v>227</v>
      </c>
      <c r="B18" s="60">
        <v>2027</v>
      </c>
      <c r="C18" s="60">
        <v>2028</v>
      </c>
      <c r="D18" s="73" t="s">
        <v>180</v>
      </c>
    </row>
    <row r="19" spans="1:80" x14ac:dyDescent="0.2">
      <c r="A19" s="61" t="s">
        <v>202</v>
      </c>
      <c r="B19" s="89">
        <v>0.15</v>
      </c>
      <c r="C19" s="89">
        <v>0.15</v>
      </c>
      <c r="D19" s="77" t="s">
        <v>266</v>
      </c>
    </row>
    <row r="20" spans="1:80" x14ac:dyDescent="0.2">
      <c r="A20" s="61" t="s">
        <v>203</v>
      </c>
      <c r="B20" s="89">
        <v>0.1</v>
      </c>
      <c r="C20" s="89">
        <v>0.1</v>
      </c>
      <c r="D20" s="77" t="s">
        <v>267</v>
      </c>
    </row>
    <row r="21" spans="1:80" x14ac:dyDescent="0.2">
      <c r="A21" s="61" t="s">
        <v>268</v>
      </c>
      <c r="B21" s="90">
        <v>240000</v>
      </c>
      <c r="C21" s="90">
        <v>240000</v>
      </c>
      <c r="D21" s="77" t="s">
        <v>195</v>
      </c>
    </row>
    <row r="22" spans="1:80" x14ac:dyDescent="0.2">
      <c r="A22" s="61" t="s">
        <v>204</v>
      </c>
      <c r="B22" s="91">
        <v>0.09</v>
      </c>
      <c r="C22" s="91">
        <v>0.09</v>
      </c>
      <c r="D22" s="77" t="s">
        <v>269</v>
      </c>
    </row>
    <row r="23" spans="1:80" x14ac:dyDescent="0.2">
      <c r="A23" s="61" t="s">
        <v>270</v>
      </c>
      <c r="B23" s="91">
        <v>0.05</v>
      </c>
      <c r="C23" s="91">
        <v>0.05</v>
      </c>
      <c r="D23" s="77" t="s">
        <v>271</v>
      </c>
    </row>
    <row r="24" spans="1:80" x14ac:dyDescent="0.2">
      <c r="A24" s="61" t="s">
        <v>237</v>
      </c>
      <c r="B24" s="91">
        <v>1E-3</v>
      </c>
      <c r="C24" s="91">
        <v>1E-3</v>
      </c>
      <c r="D24" s="77" t="s">
        <v>272</v>
      </c>
    </row>
    <row r="25" spans="1:80" x14ac:dyDescent="0.2">
      <c r="A25" s="61" t="s">
        <v>239</v>
      </c>
      <c r="B25" s="91">
        <v>9.9000000000000005E-2</v>
      </c>
      <c r="C25" s="91">
        <v>9.9000000000000005E-2</v>
      </c>
      <c r="D25" s="77" t="s">
        <v>273</v>
      </c>
    </row>
    <row r="26" spans="1:80" x14ac:dyDescent="0.2">
      <c r="A26" s="61" t="s">
        <v>252</v>
      </c>
      <c r="B26" s="78" t="s">
        <v>274</v>
      </c>
      <c r="C26" s="78" t="s">
        <v>274</v>
      </c>
      <c r="D26" s="77" t="s">
        <v>275</v>
      </c>
    </row>
    <row r="29" spans="1:80" x14ac:dyDescent="0.2">
      <c r="A29" s="54" t="s">
        <v>276</v>
      </c>
      <c r="B29" s="55"/>
      <c r="C29" s="55"/>
      <c r="D29" s="55"/>
    </row>
    <row r="30" spans="1:80" x14ac:dyDescent="0.2">
      <c r="A30" s="59" t="s">
        <v>257</v>
      </c>
      <c r="B30" s="60">
        <v>2027</v>
      </c>
      <c r="C30" s="60">
        <v>2028</v>
      </c>
      <c r="D30" s="87" t="s">
        <v>277</v>
      </c>
    </row>
    <row r="31" spans="1:80" x14ac:dyDescent="0.2">
      <c r="A31" s="61" t="s">
        <v>278</v>
      </c>
      <c r="B31" s="83">
        <f>B14</f>
        <v>934592.62319608487</v>
      </c>
      <c r="C31" s="83">
        <f>Modelo!O200</f>
        <v>1158269.3183092379</v>
      </c>
      <c r="D31" s="88">
        <f>B31+C31</f>
        <v>2092861.9415053227</v>
      </c>
    </row>
    <row r="32" spans="1:80" x14ac:dyDescent="0.2">
      <c r="A32" s="61" t="s">
        <v>202</v>
      </c>
      <c r="B32" s="84">
        <f>B31*B19</f>
        <v>140188.89347941271</v>
      </c>
      <c r="C32" s="84">
        <f>C31*C19</f>
        <v>173740.39774638569</v>
      </c>
      <c r="D32" s="88">
        <f t="shared" ref="D32:D39" si="0">B32+C32</f>
        <v>313929.29122579843</v>
      </c>
      <c r="BY32" t="s">
        <v>395</v>
      </c>
      <c r="CA32" t="s">
        <v>396</v>
      </c>
      <c r="CB32" t="s">
        <v>397</v>
      </c>
    </row>
    <row r="33" spans="1:4" x14ac:dyDescent="0.2">
      <c r="A33" s="61" t="s">
        <v>203</v>
      </c>
      <c r="B33" s="84">
        <f>IF(B31&gt;B21,(B31-B21)*B20,0)</f>
        <v>69459.26231960849</v>
      </c>
      <c r="C33" s="84">
        <f>IF(C31&gt;C21,(C31-C21)*C20,0)</f>
        <v>91826.931830923801</v>
      </c>
      <c r="D33" s="88">
        <f t="shared" si="0"/>
        <v>161286.1941505323</v>
      </c>
    </row>
    <row r="34" spans="1:4" x14ac:dyDescent="0.2">
      <c r="A34" s="63" t="s">
        <v>279</v>
      </c>
      <c r="B34" s="82">
        <f>B32+B33</f>
        <v>209648.15579902119</v>
      </c>
      <c r="C34" s="82">
        <f>C32+C33</f>
        <v>265567.32957730949</v>
      </c>
      <c r="D34" s="85">
        <f t="shared" si="0"/>
        <v>475215.48537633067</v>
      </c>
    </row>
    <row r="35" spans="1:4" x14ac:dyDescent="0.2">
      <c r="A35" s="61" t="s">
        <v>204</v>
      </c>
      <c r="B35" s="84">
        <f>B31*B22</f>
        <v>84113.336087647636</v>
      </c>
      <c r="C35" s="84">
        <f>C31*C22</f>
        <v>104244.23864783141</v>
      </c>
      <c r="D35" s="88">
        <f t="shared" si="0"/>
        <v>188357.57473547905</v>
      </c>
    </row>
    <row r="36" spans="1:4" x14ac:dyDescent="0.2">
      <c r="A36" s="61" t="s">
        <v>270</v>
      </c>
      <c r="B36" s="84">
        <f>B8*B23</f>
        <v>46729.631159804245</v>
      </c>
      <c r="C36" s="84">
        <f>C8*C23</f>
        <v>57913.4659154619</v>
      </c>
      <c r="D36" s="88">
        <f t="shared" si="0"/>
        <v>104643.09707526615</v>
      </c>
    </row>
    <row r="37" spans="1:4" x14ac:dyDescent="0.2">
      <c r="A37" s="61" t="s">
        <v>237</v>
      </c>
      <c r="B37" s="84">
        <f>B8*B24</f>
        <v>934.5926231960849</v>
      </c>
      <c r="C37" s="84">
        <f>C8*C24</f>
        <v>1158.2693183092379</v>
      </c>
      <c r="D37" s="88">
        <f t="shared" si="0"/>
        <v>2092.8619415053226</v>
      </c>
    </row>
    <row r="38" spans="1:4" x14ac:dyDescent="0.2">
      <c r="A38" s="61" t="s">
        <v>239</v>
      </c>
      <c r="B38" s="84">
        <f>B8*B25</f>
        <v>92524.669696412413</v>
      </c>
      <c r="C38" s="84">
        <f>C8*C25</f>
        <v>114668.66251261457</v>
      </c>
      <c r="D38" s="88">
        <f t="shared" si="0"/>
        <v>207193.33220902696</v>
      </c>
    </row>
    <row r="39" spans="1:4" x14ac:dyDescent="0.2">
      <c r="A39" s="65" t="s">
        <v>209</v>
      </c>
      <c r="B39" s="85">
        <f>B34+B35+B36+B37+B38</f>
        <v>433950.38536608155</v>
      </c>
      <c r="C39" s="85">
        <f>C34+C35+C36+C37+C38</f>
        <v>543551.96597152669</v>
      </c>
      <c r="D39" s="85">
        <f t="shared" si="0"/>
        <v>977502.35133760818</v>
      </c>
    </row>
    <row r="40" spans="1:4" x14ac:dyDescent="0.2">
      <c r="A40" s="63" t="s">
        <v>251</v>
      </c>
      <c r="B40" s="76">
        <f>IFERROR(B39/B6,"-")</f>
        <v>0.46432036225802242</v>
      </c>
      <c r="C40" s="76">
        <f>IFERROR(C39/C6,"-")</f>
        <v>0.46927943042207709</v>
      </c>
      <c r="D40" s="92">
        <f>IFERROR(D39/(B6+C6),"-")</f>
        <v>0.4670648990035744</v>
      </c>
    </row>
    <row r="41" spans="1:4" x14ac:dyDescent="0.2">
      <c r="A41" s="61" t="s">
        <v>280</v>
      </c>
      <c r="B41" s="84">
        <f>B10-B39</f>
        <v>500642.23783000332</v>
      </c>
      <c r="C41" s="84">
        <f>C10-C39</f>
        <v>614717.35233771126</v>
      </c>
      <c r="D41" s="88">
        <f>B41+C41</f>
        <v>1115359.5901677145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128C-F6A1-0849-BDE2-1D56F360A9EB}">
  <dimension ref="A1:K38"/>
  <sheetViews>
    <sheetView zoomScale="95" workbookViewId="0">
      <pane xSplit="1" topLeftCell="B1" activePane="topRight" state="frozen"/>
      <selection pane="topRight"/>
    </sheetView>
  </sheetViews>
  <sheetFormatPr defaultColWidth="8.7421875" defaultRowHeight="15" x14ac:dyDescent="0.2"/>
  <cols>
    <col min="1" max="1" width="40.625" customWidth="1"/>
    <col min="2" max="2" width="16.27734375" customWidth="1"/>
    <col min="3" max="3" width="51.7890625" customWidth="1"/>
    <col min="4" max="4" width="16.27734375" customWidth="1"/>
    <col min="5" max="5" width="16.140625" customWidth="1"/>
    <col min="6" max="11" width="16.27734375" customWidth="1"/>
  </cols>
  <sheetData>
    <row r="1" spans="1:11" ht="18.75" x14ac:dyDescent="0.25">
      <c r="A1" s="52">
        <v>600</v>
      </c>
    </row>
    <row r="2" spans="1:11" x14ac:dyDescent="0.2">
      <c r="A2" s="53" t="s">
        <v>281</v>
      </c>
    </row>
    <row r="4" spans="1:11" x14ac:dyDescent="0.2">
      <c r="A4" s="54" t="s">
        <v>282</v>
      </c>
      <c r="B4" s="55"/>
      <c r="C4" s="55"/>
      <c r="D4" s="55"/>
      <c r="E4" s="55"/>
      <c r="F4" s="55"/>
      <c r="G4" s="55"/>
      <c r="H4" s="55"/>
      <c r="I4" s="55"/>
      <c r="J4" s="55"/>
      <c r="K4" s="55"/>
    </row>
    <row r="5" spans="1:11" x14ac:dyDescent="0.2">
      <c r="A5" s="59" t="s">
        <v>257</v>
      </c>
      <c r="B5" s="60" t="s">
        <v>283</v>
      </c>
      <c r="C5" s="60" t="s">
        <v>284</v>
      </c>
      <c r="D5" s="60" t="s">
        <v>285</v>
      </c>
      <c r="E5" s="60" t="s">
        <v>286</v>
      </c>
      <c r="F5" s="60" t="s">
        <v>287</v>
      </c>
      <c r="G5" s="60" t="s">
        <v>288</v>
      </c>
      <c r="H5" s="60" t="s">
        <v>289</v>
      </c>
      <c r="I5" s="60" t="s">
        <v>290</v>
      </c>
      <c r="J5" s="87" t="s">
        <v>291</v>
      </c>
      <c r="K5" s="87" t="s">
        <v>292</v>
      </c>
    </row>
    <row r="6" spans="1:11" x14ac:dyDescent="0.2">
      <c r="A6" s="61" t="s">
        <v>181</v>
      </c>
      <c r="B6" s="81">
        <v>233648.25</v>
      </c>
      <c r="C6" s="81">
        <v>233648.25</v>
      </c>
      <c r="D6" s="81">
        <v>233648.25</v>
      </c>
      <c r="E6" s="81">
        <v>233648.25</v>
      </c>
      <c r="F6" s="81">
        <v>289567.25</v>
      </c>
      <c r="G6" s="81">
        <v>289567.25</v>
      </c>
      <c r="H6" s="81">
        <v>289567.25</v>
      </c>
      <c r="I6" s="81">
        <v>289567.25</v>
      </c>
      <c r="J6" s="88">
        <f>Modelo!N200</f>
        <v>934592.62319608487</v>
      </c>
      <c r="K6" s="88">
        <f>Modelo!O200</f>
        <v>1158269.3183092379</v>
      </c>
    </row>
    <row r="7" spans="1:11" x14ac:dyDescent="0.2">
      <c r="A7" s="61" t="s">
        <v>182</v>
      </c>
      <c r="B7" s="81"/>
      <c r="C7" s="81"/>
      <c r="D7" s="81"/>
      <c r="E7" s="81"/>
      <c r="F7" s="81"/>
      <c r="G7" s="81"/>
      <c r="H7" s="81"/>
      <c r="I7" s="81"/>
      <c r="J7" s="88">
        <f>SUM(B7:E7)</f>
        <v>0</v>
      </c>
      <c r="K7" s="88">
        <f>SUM(F7:I7)</f>
        <v>0</v>
      </c>
    </row>
    <row r="8" spans="1:11" x14ac:dyDescent="0.2">
      <c r="A8" s="63" t="s">
        <v>33</v>
      </c>
      <c r="B8" s="82">
        <f t="shared" ref="B8:I8" si="0">B6-B7</f>
        <v>233648.25</v>
      </c>
      <c r="C8" s="82">
        <f t="shared" si="0"/>
        <v>233648.25</v>
      </c>
      <c r="D8" s="82">
        <f t="shared" si="0"/>
        <v>233648.25</v>
      </c>
      <c r="E8" s="82">
        <f t="shared" si="0"/>
        <v>233648.25</v>
      </c>
      <c r="F8" s="82">
        <f t="shared" si="0"/>
        <v>289567.25</v>
      </c>
      <c r="G8" s="82">
        <f t="shared" si="0"/>
        <v>289567.25</v>
      </c>
      <c r="H8" s="82">
        <f t="shared" si="0"/>
        <v>289567.25</v>
      </c>
      <c r="I8" s="82">
        <f t="shared" si="0"/>
        <v>289567.25</v>
      </c>
      <c r="J8" s="85">
        <f>SUM(B8:E8)</f>
        <v>934593</v>
      </c>
      <c r="K8" s="85">
        <f>SUM(F8:I8)</f>
        <v>1158269</v>
      </c>
    </row>
    <row r="10" spans="1:11" x14ac:dyDescent="0.2">
      <c r="A10" s="54" t="s">
        <v>265</v>
      </c>
      <c r="B10" s="55"/>
      <c r="C10" s="55"/>
    </row>
    <row r="11" spans="1:11" x14ac:dyDescent="0.2">
      <c r="A11" s="59" t="s">
        <v>227</v>
      </c>
      <c r="B11" s="60" t="s">
        <v>293</v>
      </c>
      <c r="C11" s="73" t="s">
        <v>180</v>
      </c>
    </row>
    <row r="12" spans="1:11" x14ac:dyDescent="0.2">
      <c r="A12" s="61" t="s">
        <v>228</v>
      </c>
      <c r="B12" s="89">
        <v>0.32</v>
      </c>
      <c r="C12" s="77" t="s">
        <v>294</v>
      </c>
    </row>
    <row r="13" spans="1:11" x14ac:dyDescent="0.2">
      <c r="A13" s="61" t="s">
        <v>230</v>
      </c>
      <c r="B13" s="89">
        <v>0.32</v>
      </c>
      <c r="C13" s="77" t="s">
        <v>294</v>
      </c>
    </row>
    <row r="14" spans="1:11" x14ac:dyDescent="0.2">
      <c r="A14" s="61" t="s">
        <v>202</v>
      </c>
      <c r="B14" s="89">
        <v>0.15</v>
      </c>
      <c r="C14" s="77" t="s">
        <v>295</v>
      </c>
    </row>
    <row r="15" spans="1:11" x14ac:dyDescent="0.2">
      <c r="A15" s="61" t="s">
        <v>203</v>
      </c>
      <c r="B15" s="89">
        <v>0.1</v>
      </c>
      <c r="C15" s="77" t="s">
        <v>296</v>
      </c>
    </row>
    <row r="16" spans="1:11" x14ac:dyDescent="0.2">
      <c r="A16" s="61" t="s">
        <v>297</v>
      </c>
      <c r="B16" s="90">
        <v>60000</v>
      </c>
      <c r="C16" s="77" t="s">
        <v>298</v>
      </c>
    </row>
    <row r="17" spans="1:11" x14ac:dyDescent="0.2">
      <c r="A17" s="61" t="s">
        <v>204</v>
      </c>
      <c r="B17" s="91">
        <v>0.09</v>
      </c>
      <c r="C17" s="77" t="s">
        <v>299</v>
      </c>
    </row>
    <row r="18" spans="1:11" ht="27.75" x14ac:dyDescent="0.2">
      <c r="A18" s="61" t="s">
        <v>270</v>
      </c>
      <c r="B18" s="91">
        <v>0.05</v>
      </c>
      <c r="C18" s="77" t="s">
        <v>271</v>
      </c>
    </row>
    <row r="19" spans="1:11" x14ac:dyDescent="0.2">
      <c r="A19" s="61" t="s">
        <v>237</v>
      </c>
      <c r="B19" s="91">
        <v>1E-3</v>
      </c>
      <c r="C19" s="77" t="s">
        <v>272</v>
      </c>
    </row>
    <row r="20" spans="1:11" x14ac:dyDescent="0.2">
      <c r="A20" s="61" t="s">
        <v>239</v>
      </c>
      <c r="B20" s="91">
        <v>9.9000000000000005E-2</v>
      </c>
      <c r="C20" s="77" t="s">
        <v>300</v>
      </c>
    </row>
    <row r="21" spans="1:11" x14ac:dyDescent="0.2">
      <c r="A21" s="61" t="s">
        <v>252</v>
      </c>
      <c r="B21" s="78" t="s">
        <v>274</v>
      </c>
      <c r="C21" s="77" t="s">
        <v>275</v>
      </c>
    </row>
    <row r="24" spans="1:11" x14ac:dyDescent="0.2">
      <c r="A24" s="54" t="s">
        <v>301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</row>
    <row r="25" spans="1:11" x14ac:dyDescent="0.2">
      <c r="A25" s="59" t="s">
        <v>257</v>
      </c>
      <c r="B25" s="60" t="s">
        <v>283</v>
      </c>
      <c r="C25" s="60" t="s">
        <v>284</v>
      </c>
      <c r="D25" s="60" t="s">
        <v>285</v>
      </c>
      <c r="E25" s="60" t="s">
        <v>286</v>
      </c>
      <c r="F25" s="60" t="s">
        <v>287</v>
      </c>
      <c r="G25" s="60" t="s">
        <v>288</v>
      </c>
      <c r="H25" s="60" t="s">
        <v>289</v>
      </c>
      <c r="I25" s="60" t="s">
        <v>290</v>
      </c>
      <c r="J25" s="87" t="s">
        <v>291</v>
      </c>
      <c r="K25" s="87" t="s">
        <v>292</v>
      </c>
    </row>
    <row r="26" spans="1:11" x14ac:dyDescent="0.2">
      <c r="A26" s="61" t="s">
        <v>181</v>
      </c>
      <c r="B26" s="223">
        <f>B6</f>
        <v>233648.25</v>
      </c>
      <c r="C26" s="223">
        <f t="shared" ref="C26:I26" si="1">C6</f>
        <v>233648.25</v>
      </c>
      <c r="D26" s="223">
        <f t="shared" si="1"/>
        <v>233648.25</v>
      </c>
      <c r="E26" s="223">
        <f t="shared" si="1"/>
        <v>233648.25</v>
      </c>
      <c r="F26" s="223">
        <f>F6</f>
        <v>289567.25</v>
      </c>
      <c r="G26" s="223">
        <f t="shared" si="1"/>
        <v>289567.25</v>
      </c>
      <c r="H26" s="223">
        <f t="shared" si="1"/>
        <v>289567.25</v>
      </c>
      <c r="I26" s="223">
        <f t="shared" si="1"/>
        <v>289567.25</v>
      </c>
      <c r="J26" s="225">
        <f t="shared" ref="J26:J36" si="2">SUM(B26:E26)</f>
        <v>934593</v>
      </c>
      <c r="K26" s="225">
        <f t="shared" ref="K26:K36" si="3">SUM(F26:I26)</f>
        <v>1158269</v>
      </c>
    </row>
    <row r="27" spans="1:11" x14ac:dyDescent="0.2">
      <c r="A27" s="61" t="s">
        <v>302</v>
      </c>
      <c r="B27" s="223">
        <f>B26*$B$12</f>
        <v>74767.44</v>
      </c>
      <c r="C27" s="223">
        <f t="shared" ref="C27:I27" si="4">C26*$B$12</f>
        <v>74767.44</v>
      </c>
      <c r="D27" s="223">
        <f t="shared" si="4"/>
        <v>74767.44</v>
      </c>
      <c r="E27" s="223">
        <f t="shared" si="4"/>
        <v>74767.44</v>
      </c>
      <c r="F27" s="223">
        <f>F26*$B$12</f>
        <v>92661.52</v>
      </c>
      <c r="G27" s="223">
        <f t="shared" si="4"/>
        <v>92661.52</v>
      </c>
      <c r="H27" s="223">
        <f t="shared" si="4"/>
        <v>92661.52</v>
      </c>
      <c r="I27" s="223">
        <f t="shared" si="4"/>
        <v>92661.52</v>
      </c>
      <c r="J27" s="225">
        <f t="shared" si="2"/>
        <v>299069.76</v>
      </c>
      <c r="K27" s="225">
        <f t="shared" si="3"/>
        <v>370646.08</v>
      </c>
    </row>
    <row r="28" spans="1:11" x14ac:dyDescent="0.2">
      <c r="A28" s="61" t="s">
        <v>202</v>
      </c>
      <c r="B28" s="223">
        <f>B27*$B$14</f>
        <v>11215.116</v>
      </c>
      <c r="C28" s="223">
        <f t="shared" ref="C28:I28" si="5">C27*$B$14</f>
        <v>11215.116</v>
      </c>
      <c r="D28" s="223">
        <f t="shared" si="5"/>
        <v>11215.116</v>
      </c>
      <c r="E28" s="223">
        <f t="shared" si="5"/>
        <v>11215.116</v>
      </c>
      <c r="F28" s="223">
        <f>F27*$B$14</f>
        <v>13899.228000000001</v>
      </c>
      <c r="G28" s="223">
        <f t="shared" si="5"/>
        <v>13899.228000000001</v>
      </c>
      <c r="H28" s="223">
        <f t="shared" si="5"/>
        <v>13899.228000000001</v>
      </c>
      <c r="I28" s="223">
        <f t="shared" si="5"/>
        <v>13899.228000000001</v>
      </c>
      <c r="J28" s="225">
        <f t="shared" si="2"/>
        <v>44860.464</v>
      </c>
      <c r="K28" s="225">
        <f t="shared" si="3"/>
        <v>55596.912000000004</v>
      </c>
    </row>
    <row r="29" spans="1:11" x14ac:dyDescent="0.2">
      <c r="A29" s="61" t="s">
        <v>203</v>
      </c>
      <c r="B29" s="223">
        <f>IF(B27&gt;$B$16,(B27-$B$16)*$B$15,0)</f>
        <v>1476.7440000000004</v>
      </c>
      <c r="C29" s="223">
        <f t="shared" ref="C29:I29" si="6">IF(C27&gt;$B$16,(C27-$B$16)*$B$15,0)</f>
        <v>1476.7440000000004</v>
      </c>
      <c r="D29" s="223">
        <f t="shared" si="6"/>
        <v>1476.7440000000004</v>
      </c>
      <c r="E29" s="223">
        <f t="shared" si="6"/>
        <v>1476.7440000000004</v>
      </c>
      <c r="F29" s="223">
        <f>IF(F27&gt;$B$16,(F27-$B$16)*$B$15,0)</f>
        <v>3266.1520000000005</v>
      </c>
      <c r="G29" s="223">
        <f t="shared" si="6"/>
        <v>3266.1520000000005</v>
      </c>
      <c r="H29" s="223">
        <f t="shared" si="6"/>
        <v>3266.1520000000005</v>
      </c>
      <c r="I29" s="223">
        <f t="shared" si="6"/>
        <v>3266.1520000000005</v>
      </c>
      <c r="J29" s="225">
        <f t="shared" si="2"/>
        <v>5906.9760000000015</v>
      </c>
      <c r="K29" s="225">
        <f t="shared" si="3"/>
        <v>13064.608000000002</v>
      </c>
    </row>
    <row r="30" spans="1:11" x14ac:dyDescent="0.2">
      <c r="A30" s="63" t="s">
        <v>279</v>
      </c>
      <c r="B30" s="223">
        <f>B28+B29</f>
        <v>12691.86</v>
      </c>
      <c r="C30" s="223">
        <f t="shared" ref="C30:I30" si="7">C28+C29</f>
        <v>12691.86</v>
      </c>
      <c r="D30" s="223">
        <f t="shared" si="7"/>
        <v>12691.86</v>
      </c>
      <c r="E30" s="223">
        <f t="shared" si="7"/>
        <v>12691.86</v>
      </c>
      <c r="F30" s="223">
        <f>F28+F29</f>
        <v>17165.38</v>
      </c>
      <c r="G30" s="223">
        <f t="shared" si="7"/>
        <v>17165.38</v>
      </c>
      <c r="H30" s="223">
        <f t="shared" si="7"/>
        <v>17165.38</v>
      </c>
      <c r="I30" s="223">
        <f t="shared" si="7"/>
        <v>17165.38</v>
      </c>
      <c r="J30" s="225">
        <f t="shared" si="2"/>
        <v>50767.44</v>
      </c>
      <c r="K30" s="225">
        <f t="shared" si="3"/>
        <v>68661.52</v>
      </c>
    </row>
    <row r="31" spans="1:11" x14ac:dyDescent="0.2">
      <c r="A31" s="61" t="s">
        <v>303</v>
      </c>
      <c r="B31" s="223">
        <f t="shared" ref="B31:I31" si="8">B26*$B$13</f>
        <v>74767.44</v>
      </c>
      <c r="C31" s="223">
        <f t="shared" si="8"/>
        <v>74767.44</v>
      </c>
      <c r="D31" s="223">
        <f t="shared" si="8"/>
        <v>74767.44</v>
      </c>
      <c r="E31" s="223">
        <f t="shared" si="8"/>
        <v>74767.44</v>
      </c>
      <c r="F31" s="223">
        <f>F26*$B$13</f>
        <v>92661.52</v>
      </c>
      <c r="G31" s="223">
        <f t="shared" si="8"/>
        <v>92661.52</v>
      </c>
      <c r="H31" s="223">
        <f t="shared" si="8"/>
        <v>92661.52</v>
      </c>
      <c r="I31" s="223">
        <f t="shared" si="8"/>
        <v>92661.52</v>
      </c>
      <c r="J31" s="225">
        <f t="shared" si="2"/>
        <v>299069.76</v>
      </c>
      <c r="K31" s="225">
        <f t="shared" si="3"/>
        <v>370646.08</v>
      </c>
    </row>
    <row r="32" spans="1:11" x14ac:dyDescent="0.2">
      <c r="A32" s="61" t="s">
        <v>204</v>
      </c>
      <c r="B32" s="223">
        <f>B31*$B$17</f>
        <v>6729.0695999999998</v>
      </c>
      <c r="C32" s="223">
        <f t="shared" ref="C32:I32" si="9">C31*$B$17</f>
        <v>6729.0695999999998</v>
      </c>
      <c r="D32" s="223">
        <f t="shared" si="9"/>
        <v>6729.0695999999998</v>
      </c>
      <c r="E32" s="223">
        <f t="shared" si="9"/>
        <v>6729.0695999999998</v>
      </c>
      <c r="F32" s="223">
        <f>F31*$B$17</f>
        <v>8339.5367999999999</v>
      </c>
      <c r="G32" s="223">
        <f t="shared" si="9"/>
        <v>8339.5367999999999</v>
      </c>
      <c r="H32" s="223">
        <f t="shared" si="9"/>
        <v>8339.5367999999999</v>
      </c>
      <c r="I32" s="223">
        <f t="shared" si="9"/>
        <v>8339.5367999999999</v>
      </c>
      <c r="J32" s="225">
        <f t="shared" si="2"/>
        <v>26916.278399999999</v>
      </c>
      <c r="K32" s="225">
        <f t="shared" si="3"/>
        <v>33358.147199999999</v>
      </c>
    </row>
    <row r="33" spans="1:11" x14ac:dyDescent="0.2">
      <c r="A33" s="61" t="s">
        <v>270</v>
      </c>
      <c r="B33" s="223">
        <f>B26*$B$18</f>
        <v>11682.4125</v>
      </c>
      <c r="C33" s="223">
        <f t="shared" ref="C33:I33" si="10">C26*$B$18</f>
        <v>11682.4125</v>
      </c>
      <c r="D33" s="223">
        <f t="shared" si="10"/>
        <v>11682.4125</v>
      </c>
      <c r="E33" s="223">
        <f t="shared" si="10"/>
        <v>11682.4125</v>
      </c>
      <c r="F33" s="223">
        <f>F26*$B$18</f>
        <v>14478.362500000001</v>
      </c>
      <c r="G33" s="223">
        <f t="shared" si="10"/>
        <v>14478.362500000001</v>
      </c>
      <c r="H33" s="223">
        <f t="shared" si="10"/>
        <v>14478.362500000001</v>
      </c>
      <c r="I33" s="223">
        <f t="shared" si="10"/>
        <v>14478.362500000001</v>
      </c>
      <c r="J33" s="225">
        <f t="shared" si="2"/>
        <v>46729.65</v>
      </c>
      <c r="K33" s="225">
        <f t="shared" si="3"/>
        <v>57913.450000000004</v>
      </c>
    </row>
    <row r="34" spans="1:11" x14ac:dyDescent="0.2">
      <c r="A34" s="61" t="s">
        <v>237</v>
      </c>
      <c r="B34" s="223">
        <f>B26*$B$19</f>
        <v>233.64825000000002</v>
      </c>
      <c r="C34" s="223">
        <f t="shared" ref="C34:I34" si="11">C26*$B$19</f>
        <v>233.64825000000002</v>
      </c>
      <c r="D34" s="223">
        <f t="shared" si="11"/>
        <v>233.64825000000002</v>
      </c>
      <c r="E34" s="223">
        <f t="shared" si="11"/>
        <v>233.64825000000002</v>
      </c>
      <c r="F34" s="223">
        <f>F26*$B$19</f>
        <v>289.56725</v>
      </c>
      <c r="G34" s="223">
        <f t="shared" si="11"/>
        <v>289.56725</v>
      </c>
      <c r="H34" s="223">
        <f t="shared" si="11"/>
        <v>289.56725</v>
      </c>
      <c r="I34" s="223">
        <f t="shared" si="11"/>
        <v>289.56725</v>
      </c>
      <c r="J34" s="225">
        <f t="shared" si="2"/>
        <v>934.59300000000007</v>
      </c>
      <c r="K34" s="225">
        <f t="shared" si="3"/>
        <v>1158.269</v>
      </c>
    </row>
    <row r="35" spans="1:11" x14ac:dyDescent="0.2">
      <c r="A35" s="61" t="s">
        <v>239</v>
      </c>
      <c r="B35" s="223">
        <f>B26*$B$20</f>
        <v>23131.176750000002</v>
      </c>
      <c r="C35" s="223">
        <f t="shared" ref="C35:I35" si="12">C26*$B$20</f>
        <v>23131.176750000002</v>
      </c>
      <c r="D35" s="223">
        <f t="shared" si="12"/>
        <v>23131.176750000002</v>
      </c>
      <c r="E35" s="223">
        <f t="shared" si="12"/>
        <v>23131.176750000002</v>
      </c>
      <c r="F35" s="223">
        <f>F26*$B$20</f>
        <v>28667.157750000002</v>
      </c>
      <c r="G35" s="223">
        <f t="shared" si="12"/>
        <v>28667.157750000002</v>
      </c>
      <c r="H35" s="223">
        <f t="shared" si="12"/>
        <v>28667.157750000002</v>
      </c>
      <c r="I35" s="223">
        <f t="shared" si="12"/>
        <v>28667.157750000002</v>
      </c>
      <c r="J35" s="225">
        <f t="shared" si="2"/>
        <v>92524.707000000009</v>
      </c>
      <c r="K35" s="225">
        <f t="shared" si="3"/>
        <v>114668.63100000001</v>
      </c>
    </row>
    <row r="36" spans="1:11" x14ac:dyDescent="0.2">
      <c r="A36" s="65" t="s">
        <v>209</v>
      </c>
      <c r="B36" s="224">
        <f>B30+B32+B33+B34+B35</f>
        <v>54468.167100000006</v>
      </c>
      <c r="C36" s="224">
        <f t="shared" ref="C36:I36" si="13">C30+C32+C33+C34+C35</f>
        <v>54468.167100000006</v>
      </c>
      <c r="D36" s="224">
        <f t="shared" si="13"/>
        <v>54468.167100000006</v>
      </c>
      <c r="E36" s="224">
        <f t="shared" si="13"/>
        <v>54468.167100000006</v>
      </c>
      <c r="F36" s="224">
        <f t="shared" si="13"/>
        <v>68940.004300000001</v>
      </c>
      <c r="G36" s="224">
        <f t="shared" si="13"/>
        <v>68940.004300000001</v>
      </c>
      <c r="H36" s="224">
        <f t="shared" si="13"/>
        <v>68940.004300000001</v>
      </c>
      <c r="I36" s="224">
        <f t="shared" si="13"/>
        <v>68940.004300000001</v>
      </c>
      <c r="J36" s="224">
        <f t="shared" si="2"/>
        <v>217872.66840000002</v>
      </c>
      <c r="K36" s="224">
        <f t="shared" si="3"/>
        <v>275760.0172</v>
      </c>
    </row>
    <row r="37" spans="1:11" x14ac:dyDescent="0.2">
      <c r="A37" s="63" t="s">
        <v>251</v>
      </c>
      <c r="B37" s="226">
        <f t="shared" ref="B37:K37" si="14">IFERROR(B36/B26,"-")</f>
        <v>0.23312037261139343</v>
      </c>
      <c r="C37" s="226">
        <f t="shared" si="14"/>
        <v>0.23312037261139343</v>
      </c>
      <c r="D37" s="226">
        <f t="shared" si="14"/>
        <v>0.23312037261139343</v>
      </c>
      <c r="E37" s="226">
        <f t="shared" si="14"/>
        <v>0.23312037261139343</v>
      </c>
      <c r="F37" s="226">
        <f t="shared" si="14"/>
        <v>0.23807942472776186</v>
      </c>
      <c r="G37" s="226">
        <f t="shared" si="14"/>
        <v>0.23807942472776186</v>
      </c>
      <c r="H37" s="226">
        <f t="shared" si="14"/>
        <v>0.23807942472776186</v>
      </c>
      <c r="I37" s="226">
        <f t="shared" si="14"/>
        <v>0.23807942472776186</v>
      </c>
      <c r="J37" s="227">
        <f t="shared" si="14"/>
        <v>0.23312037261139343</v>
      </c>
      <c r="K37" s="227">
        <f t="shared" si="14"/>
        <v>0.23807942472776186</v>
      </c>
    </row>
    <row r="38" spans="1:11" x14ac:dyDescent="0.2">
      <c r="A38" s="61" t="s">
        <v>280</v>
      </c>
      <c r="B38" s="223">
        <f>B8-B36</f>
        <v>179180.08289999998</v>
      </c>
      <c r="C38" s="223">
        <f t="shared" ref="C38:I38" si="15">C8-C36</f>
        <v>179180.08289999998</v>
      </c>
      <c r="D38" s="223">
        <f t="shared" si="15"/>
        <v>179180.08289999998</v>
      </c>
      <c r="E38" s="223">
        <f t="shared" si="15"/>
        <v>179180.08289999998</v>
      </c>
      <c r="F38" s="223">
        <f t="shared" si="15"/>
        <v>220627.2457</v>
      </c>
      <c r="G38" s="223">
        <f t="shared" si="15"/>
        <v>220627.2457</v>
      </c>
      <c r="H38" s="223">
        <f t="shared" si="15"/>
        <v>220627.2457</v>
      </c>
      <c r="I38" s="223">
        <f t="shared" si="15"/>
        <v>220627.2457</v>
      </c>
      <c r="J38" s="225">
        <f>SUM(B38:E38)</f>
        <v>716720.33159999992</v>
      </c>
      <c r="K38" s="225">
        <f>SUM(F38:I38)</f>
        <v>882508.9828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A483-DA58-4C4F-93D4-13E1CEBDBA52}">
  <dimension ref="A1:K70"/>
  <sheetViews>
    <sheetView tabSelected="1" topLeftCell="A36" workbookViewId="0">
      <selection activeCell="B38" sqref="B38"/>
    </sheetView>
  </sheetViews>
  <sheetFormatPr defaultRowHeight="15" x14ac:dyDescent="0.2"/>
  <cols>
    <col min="1" max="1" width="71.8359375" customWidth="1"/>
    <col min="2" max="2" width="19.37109375" customWidth="1"/>
    <col min="3" max="3" width="16.27734375" customWidth="1"/>
    <col min="4" max="4" width="14.796875" customWidth="1"/>
    <col min="5" max="5" width="15.46875" customWidth="1"/>
    <col min="6" max="6" width="13.98828125" customWidth="1"/>
    <col min="7" max="7" width="13.71875" customWidth="1"/>
    <col min="8" max="8" width="15.73828125" customWidth="1"/>
    <col min="9" max="9" width="14.9296875" customWidth="1"/>
    <col min="10" max="10" width="16.27734375" customWidth="1"/>
    <col min="11" max="11" width="69.14453125" bestFit="1" customWidth="1"/>
  </cols>
  <sheetData>
    <row r="1" spans="1:11" ht="18.75" x14ac:dyDescent="0.25">
      <c r="A1" s="52" t="s">
        <v>410</v>
      </c>
    </row>
    <row r="2" spans="1:11" x14ac:dyDescent="0.2">
      <c r="A2" s="53" t="s">
        <v>411</v>
      </c>
    </row>
    <row r="4" spans="1:11" x14ac:dyDescent="0.2">
      <c r="A4" s="54" t="s">
        <v>412</v>
      </c>
    </row>
    <row r="5" spans="1:11" x14ac:dyDescent="0.2">
      <c r="A5" s="231" t="s">
        <v>257</v>
      </c>
      <c r="B5">
        <v>2028</v>
      </c>
      <c r="C5">
        <v>2029</v>
      </c>
      <c r="D5">
        <v>2030</v>
      </c>
      <c r="E5">
        <v>2031</v>
      </c>
      <c r="F5">
        <v>2032</v>
      </c>
      <c r="G5">
        <v>2033</v>
      </c>
      <c r="H5">
        <v>2034</v>
      </c>
      <c r="I5">
        <v>2035</v>
      </c>
      <c r="J5">
        <v>2036</v>
      </c>
      <c r="K5" s="231" t="s">
        <v>180</v>
      </c>
    </row>
    <row r="6" spans="1:11" x14ac:dyDescent="0.2">
      <c r="A6" t="s">
        <v>181</v>
      </c>
      <c r="B6" s="234">
        <f xml:space="preserve"> Modelo!O200</f>
        <v>1158269.3183092379</v>
      </c>
      <c r="C6" s="234">
        <f>Modelo!P200</f>
        <v>1369985.5628532525</v>
      </c>
      <c r="D6" s="234">
        <f>Modelo!Q200</f>
        <v>1573672.3525670823</v>
      </c>
      <c r="E6" s="234">
        <f>Modelo!R200</f>
        <v>1774206.2666584831</v>
      </c>
      <c r="F6" s="234">
        <f>Modelo!S200</f>
        <v>1968116.4438000149</v>
      </c>
      <c r="G6" s="234">
        <f>Modelo!T200</f>
        <v>2161338.5747167738</v>
      </c>
      <c r="H6" s="234">
        <f>Modelo!U200</f>
        <v>2355790.6400445821</v>
      </c>
      <c r="I6" s="234">
        <f>Modelo!V200</f>
        <v>2553081.8862203136</v>
      </c>
      <c r="J6" s="234">
        <f>Modelo!W200</f>
        <v>2754892.7560896138</v>
      </c>
      <c r="K6" t="s">
        <v>413</v>
      </c>
    </row>
    <row r="7" spans="1:11" x14ac:dyDescent="0.2">
      <c r="A7" t="s">
        <v>182</v>
      </c>
      <c r="B7" s="234"/>
      <c r="C7" s="234"/>
      <c r="D7" s="234"/>
      <c r="E7" s="234"/>
      <c r="F7" s="234"/>
      <c r="G7" s="234"/>
      <c r="H7" s="234"/>
      <c r="I7" s="234"/>
      <c r="J7" s="234"/>
      <c r="K7" t="s">
        <v>259</v>
      </c>
    </row>
    <row r="8" spans="1:11" x14ac:dyDescent="0.2">
      <c r="A8" s="230" t="s">
        <v>33</v>
      </c>
      <c r="B8" s="234">
        <f>B6-B7</f>
        <v>1158269.3183092379</v>
      </c>
      <c r="C8" s="234">
        <f>C6-C7</f>
        <v>1369985.5628532525</v>
      </c>
      <c r="D8" s="234">
        <f>D6-D7</f>
        <v>1573672.3525670823</v>
      </c>
      <c r="E8" s="234">
        <f>E6-E7</f>
        <v>1774206.2666584831</v>
      </c>
      <c r="F8" s="234">
        <f>F6-F7</f>
        <v>1968116.4438000149</v>
      </c>
      <c r="G8" s="234">
        <f>G6-G7</f>
        <v>2161338.5747167738</v>
      </c>
      <c r="H8" s="234">
        <f>H6-H7</f>
        <v>2355790.6400445821</v>
      </c>
      <c r="I8" s="234">
        <f>I6-I7</f>
        <v>2553081.8862203136</v>
      </c>
      <c r="J8" s="234">
        <f>J6-J7</f>
        <v>2754892.7560896138</v>
      </c>
    </row>
    <row r="9" spans="1:11" x14ac:dyDescent="0.2">
      <c r="A9" t="s">
        <v>228</v>
      </c>
      <c r="B9" s="233">
        <v>0.32</v>
      </c>
      <c r="C9" s="233">
        <v>0.32</v>
      </c>
      <c r="D9" s="233">
        <v>0.32</v>
      </c>
      <c r="E9" s="233">
        <v>0.32</v>
      </c>
      <c r="F9" s="233">
        <v>0.32</v>
      </c>
      <c r="G9" s="233">
        <v>0.32</v>
      </c>
      <c r="H9" s="233">
        <v>0.32</v>
      </c>
      <c r="I9" s="233">
        <v>0.32</v>
      </c>
      <c r="J9" s="233">
        <v>0.32</v>
      </c>
      <c r="K9" t="s">
        <v>294</v>
      </c>
    </row>
    <row r="10" spans="1:11" x14ac:dyDescent="0.2">
      <c r="A10" t="s">
        <v>230</v>
      </c>
      <c r="B10" s="233">
        <v>0.32</v>
      </c>
      <c r="C10" s="233">
        <v>0.32</v>
      </c>
      <c r="D10" s="233">
        <v>0.32</v>
      </c>
      <c r="E10" s="233">
        <v>0.32</v>
      </c>
      <c r="F10" s="233">
        <v>0.32</v>
      </c>
      <c r="G10" s="233">
        <v>0.32</v>
      </c>
      <c r="H10" s="233">
        <v>0.32</v>
      </c>
      <c r="I10" s="233">
        <v>0.32</v>
      </c>
      <c r="J10" s="233">
        <v>0.32</v>
      </c>
      <c r="K10" t="s">
        <v>294</v>
      </c>
    </row>
    <row r="11" spans="1:11" x14ac:dyDescent="0.2">
      <c r="A11" t="s">
        <v>202</v>
      </c>
      <c r="B11" s="233">
        <v>0.15</v>
      </c>
      <c r="C11" s="233">
        <v>0.15</v>
      </c>
      <c r="D11" s="233">
        <v>0.15</v>
      </c>
      <c r="E11" s="233">
        <v>0.15</v>
      </c>
      <c r="F11" s="233">
        <v>0.15</v>
      </c>
      <c r="G11" s="233">
        <v>0.15</v>
      </c>
      <c r="H11" s="233">
        <v>0.15</v>
      </c>
      <c r="I11" s="233">
        <v>0.15</v>
      </c>
      <c r="J11" s="233">
        <v>0.15</v>
      </c>
      <c r="K11" t="s">
        <v>295</v>
      </c>
    </row>
    <row r="12" spans="1:11" x14ac:dyDescent="0.2">
      <c r="A12" t="s">
        <v>203</v>
      </c>
      <c r="B12" s="233">
        <v>0.1</v>
      </c>
      <c r="C12" s="233">
        <v>0.1</v>
      </c>
      <c r="D12" s="233">
        <v>0.1</v>
      </c>
      <c r="E12" s="233">
        <v>0.1</v>
      </c>
      <c r="F12" s="233">
        <v>0.1</v>
      </c>
      <c r="G12" s="233">
        <v>0.1</v>
      </c>
      <c r="H12" s="233">
        <v>0.1</v>
      </c>
      <c r="I12" s="233">
        <v>0.1</v>
      </c>
      <c r="J12" s="233">
        <v>0.1</v>
      </c>
      <c r="K12" t="s">
        <v>414</v>
      </c>
    </row>
    <row r="13" spans="1:11" x14ac:dyDescent="0.2">
      <c r="A13" t="s">
        <v>268</v>
      </c>
      <c r="B13" s="234">
        <v>240000</v>
      </c>
      <c r="C13" s="234">
        <v>240000</v>
      </c>
      <c r="D13" s="234">
        <v>240000</v>
      </c>
      <c r="E13" s="234">
        <v>240000</v>
      </c>
      <c r="F13" s="234">
        <v>240000</v>
      </c>
      <c r="G13" s="234">
        <v>240000</v>
      </c>
      <c r="H13" s="234">
        <v>240000</v>
      </c>
      <c r="I13" s="234">
        <v>240000</v>
      </c>
      <c r="J13" s="234">
        <v>240000</v>
      </c>
      <c r="K13" t="s">
        <v>195</v>
      </c>
    </row>
    <row r="14" spans="1:11" x14ac:dyDescent="0.2">
      <c r="A14" t="s">
        <v>204</v>
      </c>
      <c r="B14" s="233">
        <v>0.09</v>
      </c>
      <c r="C14" s="233">
        <v>0.09</v>
      </c>
      <c r="D14" s="233">
        <v>0.09</v>
      </c>
      <c r="E14" s="233">
        <v>0.09</v>
      </c>
      <c r="F14" s="233">
        <v>0.09</v>
      </c>
      <c r="G14" s="233">
        <v>0.09</v>
      </c>
      <c r="H14" s="233">
        <v>0.09</v>
      </c>
      <c r="I14" s="233">
        <v>0.09</v>
      </c>
      <c r="J14" s="233">
        <v>0.09</v>
      </c>
      <c r="K14" t="s">
        <v>299</v>
      </c>
    </row>
    <row r="15" spans="1:11" x14ac:dyDescent="0.2">
      <c r="A15" t="s">
        <v>270</v>
      </c>
      <c r="B15" s="233">
        <v>0.05</v>
      </c>
      <c r="C15" s="233">
        <v>0.05</v>
      </c>
      <c r="D15" s="233">
        <v>0.05</v>
      </c>
      <c r="E15" s="233">
        <v>0.05</v>
      </c>
      <c r="F15" s="233">
        <v>0.05</v>
      </c>
      <c r="G15" s="233">
        <v>0.05</v>
      </c>
      <c r="H15" s="233">
        <v>0.05</v>
      </c>
      <c r="I15" s="233">
        <v>0.05</v>
      </c>
      <c r="J15" s="233">
        <v>0.05</v>
      </c>
      <c r="K15" t="s">
        <v>415</v>
      </c>
    </row>
    <row r="16" spans="1:11" x14ac:dyDescent="0.2">
      <c r="A16" t="s">
        <v>237</v>
      </c>
      <c r="B16" s="233">
        <v>1E-3</v>
      </c>
      <c r="C16" s="233">
        <v>1E-3</v>
      </c>
      <c r="D16" s="233">
        <v>1E-3</v>
      </c>
      <c r="E16" s="233">
        <v>1E-3</v>
      </c>
      <c r="F16" s="233">
        <v>1E-3</v>
      </c>
      <c r="G16" s="233">
        <v>1E-3</v>
      </c>
      <c r="H16" s="233">
        <v>1E-3</v>
      </c>
      <c r="I16" s="233">
        <v>1E-3</v>
      </c>
      <c r="J16" s="233">
        <v>1E-3</v>
      </c>
      <c r="K16" t="s">
        <v>416</v>
      </c>
    </row>
    <row r="17" spans="1:11" x14ac:dyDescent="0.2">
      <c r="A17" t="s">
        <v>239</v>
      </c>
      <c r="B17" s="233">
        <v>9.9000000000000005E-2</v>
      </c>
      <c r="C17" s="233">
        <v>9.9000000000000005E-2</v>
      </c>
      <c r="D17" s="233">
        <v>9.9000000000000005E-2</v>
      </c>
      <c r="E17" s="233">
        <v>9.9000000000000005E-2</v>
      </c>
      <c r="F17" s="233">
        <v>9.9000000000000005E-2</v>
      </c>
      <c r="G17" s="233">
        <v>9.9000000000000005E-2</v>
      </c>
      <c r="H17" s="233">
        <v>9.9000000000000005E-2</v>
      </c>
      <c r="I17" s="233">
        <v>9.9000000000000005E-2</v>
      </c>
      <c r="J17" s="233">
        <v>9.9000000000000005E-2</v>
      </c>
      <c r="K17" t="s">
        <v>417</v>
      </c>
    </row>
    <row r="18" spans="1:11" x14ac:dyDescent="0.2">
      <c r="A18" t="s">
        <v>252</v>
      </c>
      <c r="B18" t="s">
        <v>274</v>
      </c>
      <c r="C18" t="s">
        <v>274</v>
      </c>
      <c r="D18" t="s">
        <v>274</v>
      </c>
      <c r="E18" t="s">
        <v>274</v>
      </c>
      <c r="F18" t="s">
        <v>274</v>
      </c>
      <c r="G18" t="s">
        <v>274</v>
      </c>
      <c r="H18" t="s">
        <v>274</v>
      </c>
      <c r="I18" t="s">
        <v>274</v>
      </c>
      <c r="J18" t="s">
        <v>274</v>
      </c>
      <c r="K18" t="s">
        <v>418</v>
      </c>
    </row>
    <row r="20" spans="1:11" x14ac:dyDescent="0.2">
      <c r="A20" s="54" t="s">
        <v>419</v>
      </c>
    </row>
    <row r="21" spans="1:11" x14ac:dyDescent="0.2">
      <c r="A21" s="231" t="s">
        <v>257</v>
      </c>
      <c r="B21">
        <f>B5</f>
        <v>2028</v>
      </c>
      <c r="C21">
        <f>C5</f>
        <v>2029</v>
      </c>
      <c r="D21">
        <f>D5</f>
        <v>2030</v>
      </c>
      <c r="E21">
        <f>E5</f>
        <v>2031</v>
      </c>
      <c r="F21">
        <f>F5</f>
        <v>2032</v>
      </c>
      <c r="G21">
        <f>G5</f>
        <v>2033</v>
      </c>
      <c r="H21">
        <f>H5</f>
        <v>2034</v>
      </c>
      <c r="I21">
        <f>I5</f>
        <v>2035</v>
      </c>
      <c r="J21">
        <f>J5</f>
        <v>2036</v>
      </c>
      <c r="K21" s="231" t="s">
        <v>420</v>
      </c>
    </row>
    <row r="22" spans="1:11" x14ac:dyDescent="0.2">
      <c r="A22" t="s">
        <v>181</v>
      </c>
      <c r="B22" s="234">
        <f>B6</f>
        <v>1158269.3183092379</v>
      </c>
      <c r="C22" s="234">
        <f>C6</f>
        <v>1369985.5628532525</v>
      </c>
      <c r="D22" s="234">
        <f>D6</f>
        <v>1573672.3525670823</v>
      </c>
      <c r="E22" s="234">
        <f>E6</f>
        <v>1774206.2666584831</v>
      </c>
      <c r="F22" s="234">
        <f>F6</f>
        <v>1968116.4438000149</v>
      </c>
      <c r="G22" s="234">
        <f>G6</f>
        <v>2161338.5747167738</v>
      </c>
      <c r="H22" s="234">
        <f>H6</f>
        <v>2355790.6400445821</v>
      </c>
      <c r="I22" s="234">
        <f>I6</f>
        <v>2553081.8862203136</v>
      </c>
      <c r="J22" s="234">
        <f>J6</f>
        <v>2754892.7560896138</v>
      </c>
      <c r="K22" s="234">
        <f>SUM(B22:J22)</f>
        <v>17669353.801259354</v>
      </c>
    </row>
    <row r="23" spans="1:11" x14ac:dyDescent="0.2">
      <c r="A23" t="s">
        <v>302</v>
      </c>
      <c r="B23" s="234">
        <f>B22*B9</f>
        <v>370646.18185895617</v>
      </c>
      <c r="C23" s="234">
        <f>C22*C9</f>
        <v>438395.3801130408</v>
      </c>
      <c r="D23" s="234">
        <f>D22*D9</f>
        <v>503575.15282146633</v>
      </c>
      <c r="E23" s="234">
        <f>E22*E9</f>
        <v>567746.00533071463</v>
      </c>
      <c r="F23" s="234">
        <f>F22*F9</f>
        <v>629797.26201600477</v>
      </c>
      <c r="G23" s="234">
        <f>G22*G9</f>
        <v>691628.34390936769</v>
      </c>
      <c r="H23" s="234">
        <f>H22*H9</f>
        <v>753853.00481426623</v>
      </c>
      <c r="I23" s="234">
        <f>I22*I9</f>
        <v>816986.2035905004</v>
      </c>
      <c r="J23" s="234">
        <f>J22*J9</f>
        <v>881565.68194867647</v>
      </c>
      <c r="K23" s="234">
        <f>SUM(B23:J23)</f>
        <v>5654193.2164029935</v>
      </c>
    </row>
    <row r="24" spans="1:11" x14ac:dyDescent="0.2">
      <c r="A24" t="s">
        <v>202</v>
      </c>
      <c r="B24" s="234">
        <f>B23*B11</f>
        <v>55596.927278843425</v>
      </c>
      <c r="C24" s="234">
        <f>C23*C11</f>
        <v>65759.307016956111</v>
      </c>
      <c r="D24" s="234">
        <f>D23*D11</f>
        <v>75536.272923219949</v>
      </c>
      <c r="E24" s="234">
        <f>E23*E11</f>
        <v>85161.900799607189</v>
      </c>
      <c r="F24" s="234">
        <f>F23*F11</f>
        <v>94469.589302400709</v>
      </c>
      <c r="G24" s="234">
        <f>G23*G11</f>
        <v>103744.25158640515</v>
      </c>
      <c r="H24" s="234">
        <f>H23*H11</f>
        <v>113077.95072213993</v>
      </c>
      <c r="I24" s="234">
        <f>I23*I11</f>
        <v>122547.93053857505</v>
      </c>
      <c r="J24" s="234">
        <f>J23*J11</f>
        <v>132234.85229230145</v>
      </c>
      <c r="K24" s="234">
        <f>SUM(B24:J24)</f>
        <v>848128.98246044898</v>
      </c>
    </row>
    <row r="25" spans="1:11" x14ac:dyDescent="0.2">
      <c r="A25" t="s">
        <v>203</v>
      </c>
      <c r="B25" s="234">
        <f>IF(B23&gt;B13,(B23-B13)*B12,0)</f>
        <v>13064.618185895619</v>
      </c>
      <c r="C25" s="234">
        <f>IF(C23&gt;C13,(C23-C13)*C12,0)</f>
        <v>19839.538011304081</v>
      </c>
      <c r="D25" s="234">
        <f>IF(D23&gt;D13,(D23-D13)*D12,0)</f>
        <v>26357.515282146633</v>
      </c>
      <c r="E25" s="234">
        <f>IF(E23&gt;E13,(E23-E13)*E12,0)</f>
        <v>32774.600533071462</v>
      </c>
      <c r="F25" s="234">
        <f>IF(F23&gt;F13,(F23-F13)*F12,0)</f>
        <v>38979.726201600475</v>
      </c>
      <c r="G25" s="234">
        <f>IF(G23&gt;G13,(G23-G13)*G12,0)</f>
        <v>45162.834390936769</v>
      </c>
      <c r="H25" s="234">
        <f>IF(H23&gt;H13,(H23-H13)*H12,0)</f>
        <v>51385.300481426624</v>
      </c>
      <c r="I25" s="234">
        <f>IF(I23&gt;I13,(I23-I13)*I12,0)</f>
        <v>57698.620359050044</v>
      </c>
      <c r="J25" s="234">
        <f>IF(J23&gt;J13,(J23-J13)*J12,0)</f>
        <v>64156.56819486765</v>
      </c>
      <c r="K25" s="234">
        <f>SUM(B25:J25)</f>
        <v>349419.32164029934</v>
      </c>
    </row>
    <row r="26" spans="1:11" x14ac:dyDescent="0.2">
      <c r="A26" s="230" t="s">
        <v>279</v>
      </c>
      <c r="B26" s="234">
        <f>B24+B25</f>
        <v>68661.545464739043</v>
      </c>
      <c r="C26" s="234">
        <f>C24+C25</f>
        <v>85598.845028260199</v>
      </c>
      <c r="D26" s="234">
        <f>D24+D25</f>
        <v>101893.78820536658</v>
      </c>
      <c r="E26" s="234">
        <f>E24+E25</f>
        <v>117936.50133267866</v>
      </c>
      <c r="F26" s="234">
        <f>F24+F25</f>
        <v>133449.31550400119</v>
      </c>
      <c r="G26" s="234">
        <f>G24+G25</f>
        <v>148907.08597734192</v>
      </c>
      <c r="H26" s="234">
        <f>H24+H25</f>
        <v>164463.25120356656</v>
      </c>
      <c r="I26" s="234">
        <f>I24+I25</f>
        <v>180246.5508976251</v>
      </c>
      <c r="J26" s="234">
        <f>J24+J25</f>
        <v>196391.42048716912</v>
      </c>
      <c r="K26" s="234">
        <f>SUM(B26:J26)</f>
        <v>1197548.3041007484</v>
      </c>
    </row>
    <row r="27" spans="1:11" x14ac:dyDescent="0.2">
      <c r="A27" t="s">
        <v>303</v>
      </c>
      <c r="B27" s="234">
        <f>B22*B10</f>
        <v>370646.18185895617</v>
      </c>
      <c r="C27" s="234">
        <f>C22*C10</f>
        <v>438395.3801130408</v>
      </c>
      <c r="D27" s="234">
        <f>D22*D10</f>
        <v>503575.15282146633</v>
      </c>
      <c r="E27" s="234">
        <f>E22*E10</f>
        <v>567746.00533071463</v>
      </c>
      <c r="F27" s="234">
        <f>F22*F10</f>
        <v>629797.26201600477</v>
      </c>
      <c r="G27" s="234">
        <f>G22*G10</f>
        <v>691628.34390936769</v>
      </c>
      <c r="H27" s="234">
        <f>H22*H10</f>
        <v>753853.00481426623</v>
      </c>
      <c r="I27" s="234">
        <f>I22*I10</f>
        <v>816986.2035905004</v>
      </c>
      <c r="J27" s="234">
        <f>J22*J10</f>
        <v>881565.68194867647</v>
      </c>
      <c r="K27" s="234">
        <f>SUM(B27:J27)</f>
        <v>5654193.2164029935</v>
      </c>
    </row>
    <row r="28" spans="1:11" x14ac:dyDescent="0.2">
      <c r="A28" t="s">
        <v>204</v>
      </c>
      <c r="B28" s="234">
        <f>B27*B14</f>
        <v>33358.156367306052</v>
      </c>
      <c r="C28" s="234">
        <f>C27*C14</f>
        <v>39455.584210173671</v>
      </c>
      <c r="D28" s="234">
        <f>D27*D14</f>
        <v>45321.763753931969</v>
      </c>
      <c r="E28" s="234">
        <f>E27*E14</f>
        <v>51097.140479764312</v>
      </c>
      <c r="F28" s="234">
        <f>F27*F14</f>
        <v>56681.753581440425</v>
      </c>
      <c r="G28" s="234">
        <f>G27*G14</f>
        <v>62246.550951843092</v>
      </c>
      <c r="H28" s="234">
        <f>H27*H14</f>
        <v>67846.770433283964</v>
      </c>
      <c r="I28" s="234">
        <f>I27*I14</f>
        <v>73528.758323145026</v>
      </c>
      <c r="J28" s="234">
        <f>J27*J14</f>
        <v>79340.911375380878</v>
      </c>
      <c r="K28" s="234">
        <f>SUM(B28:J28)</f>
        <v>508877.38947626937</v>
      </c>
    </row>
    <row r="29" spans="1:11" x14ac:dyDescent="0.2">
      <c r="A29" t="s">
        <v>270</v>
      </c>
      <c r="B29" s="234">
        <f>B22*B15</f>
        <v>57913.4659154619</v>
      </c>
      <c r="C29" s="234">
        <f>C22*C15</f>
        <v>68499.278142662632</v>
      </c>
      <c r="D29" s="234">
        <f>D22*D15</f>
        <v>78683.617628354114</v>
      </c>
      <c r="E29" s="234">
        <f>E22*E15</f>
        <v>88710.313332924154</v>
      </c>
      <c r="F29" s="234">
        <f>F22*F15</f>
        <v>98405.822190000748</v>
      </c>
      <c r="G29" s="234">
        <f>G22*G15</f>
        <v>108066.92873583869</v>
      </c>
      <c r="H29" s="234">
        <f>H22*H15</f>
        <v>117789.53200222911</v>
      </c>
      <c r="I29" s="234">
        <f>I22*I15</f>
        <v>127654.09431101568</v>
      </c>
      <c r="J29" s="234">
        <f>J22*J15</f>
        <v>137744.63780448071</v>
      </c>
      <c r="K29" s="234">
        <f>SUM(B29:J29)</f>
        <v>883467.69006296771</v>
      </c>
    </row>
    <row r="30" spans="1:11" x14ac:dyDescent="0.2">
      <c r="A30" t="s">
        <v>237</v>
      </c>
      <c r="B30" s="234">
        <f>B22*B16</f>
        <v>1158.2693183092379</v>
      </c>
      <c r="C30" s="234">
        <f>C22*C16</f>
        <v>1369.9855628532525</v>
      </c>
      <c r="D30" s="234">
        <f>D22*D16</f>
        <v>1573.6723525670823</v>
      </c>
      <c r="E30" s="234">
        <f>E22*E16</f>
        <v>1774.2062666584832</v>
      </c>
      <c r="F30" s="234">
        <f>F22*F16</f>
        <v>1968.1164438000148</v>
      </c>
      <c r="G30" s="234">
        <f>G22*G16</f>
        <v>2161.338574716774</v>
      </c>
      <c r="H30" s="234">
        <f>H22*H16</f>
        <v>2355.7906400445822</v>
      </c>
      <c r="I30" s="234">
        <f>I22*I16</f>
        <v>2553.0818862203137</v>
      </c>
      <c r="J30" s="234">
        <f>J22*J16</f>
        <v>2754.8927560896136</v>
      </c>
      <c r="K30" s="234">
        <f>SUM(B30:J30)</f>
        <v>17669.353801259356</v>
      </c>
    </row>
    <row r="31" spans="1:11" x14ac:dyDescent="0.2">
      <c r="A31" t="s">
        <v>239</v>
      </c>
      <c r="B31" s="234">
        <f>B22*B17</f>
        <v>114668.66251261457</v>
      </c>
      <c r="C31" s="234">
        <f>C22*C17</f>
        <v>135628.57072247201</v>
      </c>
      <c r="D31" s="234">
        <f>D22*D17</f>
        <v>155793.56290414114</v>
      </c>
      <c r="E31" s="234">
        <f>E22*E17</f>
        <v>175646.42039918984</v>
      </c>
      <c r="F31" s="234">
        <f>F22*F17</f>
        <v>194843.52793620148</v>
      </c>
      <c r="G31" s="234">
        <f>G22*G17</f>
        <v>213972.51889696062</v>
      </c>
      <c r="H31" s="234">
        <f>H22*H17</f>
        <v>233223.27336441365</v>
      </c>
      <c r="I31" s="234">
        <f>I22*I17</f>
        <v>252755.10673581104</v>
      </c>
      <c r="J31" s="234">
        <f>J22*J17</f>
        <v>272734.38285287179</v>
      </c>
      <c r="K31" s="234">
        <f>SUM(B31:J31)</f>
        <v>1749266.0263246763</v>
      </c>
    </row>
    <row r="32" spans="1:11" x14ac:dyDescent="0.2">
      <c r="A32" s="232" t="s">
        <v>209</v>
      </c>
      <c r="B32" s="234">
        <f>B26+B28+B29+B30+B31</f>
        <v>275760.09957843076</v>
      </c>
      <c r="C32" s="234">
        <f>C26+C28+C29+C30+C31</f>
        <v>330552.26366642176</v>
      </c>
      <c r="D32" s="234">
        <f>D26+D28+D29+D30+D31</f>
        <v>383266.40484436089</v>
      </c>
      <c r="E32" s="234">
        <f>E26+E28+E29+E30+E31</f>
        <v>435164.5818112155</v>
      </c>
      <c r="F32" s="234">
        <f>F26+F28+F29+F30+F31</f>
        <v>485348.53565544391</v>
      </c>
      <c r="G32" s="234">
        <f>G26+G28+G29+G30+G31</f>
        <v>535354.42313670111</v>
      </c>
      <c r="H32" s="234">
        <f>H26+H28+H29+H30+H31</f>
        <v>585678.61764353793</v>
      </c>
      <c r="I32" s="234">
        <f>I26+I28+I29+I30+I31</f>
        <v>636737.59215381718</v>
      </c>
      <c r="J32" s="234">
        <f>J26+J28+J29+J30+J31</f>
        <v>688966.2452759922</v>
      </c>
      <c r="K32" s="234">
        <f>SUM(B32:J32)</f>
        <v>4356828.7637659209</v>
      </c>
    </row>
    <row r="33" spans="1:11" x14ac:dyDescent="0.2">
      <c r="A33" s="230" t="s">
        <v>251</v>
      </c>
      <c r="B33" s="233">
        <f>IFERROR(B32/B22,"-")</f>
        <v>0.23807943042207699</v>
      </c>
      <c r="C33" s="233">
        <f>IFERROR(C32/C22,"-")</f>
        <v>0.24128156721446356</v>
      </c>
      <c r="D33" s="233">
        <f>IFERROR(D32/D22,"-")</f>
        <v>0.2435490489612723</v>
      </c>
      <c r="E33" s="233">
        <f>IFERROR(E32/E22,"-")</f>
        <v>0.24527282424201938</v>
      </c>
      <c r="F33" s="233">
        <f>IFERROR(F32/F22,"-")</f>
        <v>0.24660559957435188</v>
      </c>
      <c r="G33" s="233">
        <f>IFERROR(G32/G22,"-")</f>
        <v>0.24769577029681944</v>
      </c>
      <c r="H33" s="233">
        <f>IFERROR(H32/H22,"-")</f>
        <v>0.24861233748362896</v>
      </c>
      <c r="I33" s="233">
        <f>IFERROR(I32/I22,"-")</f>
        <v>0.24939959646044468</v>
      </c>
      <c r="J33" s="233">
        <f>IFERROR(J32/J22,"-")</f>
        <v>0.25008822711993106</v>
      </c>
      <c r="K33" s="233">
        <f>IFERROR(K32/K22,"-")</f>
        <v>0.24657544428452133</v>
      </c>
    </row>
    <row r="34" spans="1:11" x14ac:dyDescent="0.2">
      <c r="A34" t="s">
        <v>280</v>
      </c>
      <c r="B34" s="234">
        <f>B8-B32</f>
        <v>882509.21873080719</v>
      </c>
      <c r="C34" s="234">
        <f>C8-C32</f>
        <v>1039433.2991868308</v>
      </c>
      <c r="D34" s="234">
        <f>D8-D32</f>
        <v>1190405.9477227214</v>
      </c>
      <c r="E34" s="234">
        <f>E8-E32</f>
        <v>1339041.6848472676</v>
      </c>
      <c r="F34" s="234">
        <f>F8-F32</f>
        <v>1482767.9081445709</v>
      </c>
      <c r="G34" s="234">
        <f>G8-G32</f>
        <v>1625984.1515800727</v>
      </c>
      <c r="H34" s="234">
        <f>H8-H32</f>
        <v>1770112.0224010441</v>
      </c>
      <c r="I34" s="234">
        <f>I8-I32</f>
        <v>1916344.2940664964</v>
      </c>
      <c r="J34" s="234">
        <f>J8-J32</f>
        <v>2065926.5108136216</v>
      </c>
      <c r="K34" s="234">
        <f>SUM(B34:J34)</f>
        <v>13312525.037493432</v>
      </c>
    </row>
    <row r="36" spans="1:11" x14ac:dyDescent="0.2">
      <c r="A36" s="54" t="s">
        <v>421</v>
      </c>
    </row>
    <row r="37" spans="1:11" x14ac:dyDescent="0.2">
      <c r="A37" s="231" t="s">
        <v>257</v>
      </c>
      <c r="B37">
        <f>B5</f>
        <v>2028</v>
      </c>
      <c r="C37">
        <f>C5</f>
        <v>2029</v>
      </c>
      <c r="D37">
        <f>D5</f>
        <v>2030</v>
      </c>
      <c r="E37">
        <f>E5</f>
        <v>2031</v>
      </c>
      <c r="F37">
        <f>F5</f>
        <v>2032</v>
      </c>
      <c r="G37">
        <f>G5</f>
        <v>2033</v>
      </c>
      <c r="H37">
        <f>H5</f>
        <v>2034</v>
      </c>
      <c r="I37">
        <f>I5</f>
        <v>2035</v>
      </c>
      <c r="J37">
        <f>J5</f>
        <v>2036</v>
      </c>
      <c r="K37" s="231" t="s">
        <v>180</v>
      </c>
    </row>
    <row r="38" spans="1:11" x14ac:dyDescent="0.2">
      <c r="A38" t="s">
        <v>181</v>
      </c>
      <c r="B38" s="234">
        <f>B6</f>
        <v>1158269.3183092379</v>
      </c>
      <c r="C38" s="234">
        <f>C6</f>
        <v>1369985.5628532525</v>
      </c>
      <c r="D38" s="234">
        <f>D6</f>
        <v>1573672.3525670823</v>
      </c>
      <c r="E38" s="234">
        <f>E6</f>
        <v>1774206.2666584831</v>
      </c>
      <c r="F38" s="234">
        <f>F6</f>
        <v>1968116.4438000149</v>
      </c>
      <c r="G38" s="234">
        <f>G6</f>
        <v>2161338.5747167738</v>
      </c>
      <c r="H38" s="234">
        <f>H6</f>
        <v>2355790.6400445821</v>
      </c>
      <c r="I38" s="234">
        <f>I6</f>
        <v>2553081.8862203136</v>
      </c>
      <c r="J38" s="234">
        <f>J6</f>
        <v>2754892.7560896138</v>
      </c>
      <c r="K38" t="s">
        <v>413</v>
      </c>
    </row>
    <row r="39" spans="1:11" x14ac:dyDescent="0.2">
      <c r="A39" t="s">
        <v>182</v>
      </c>
      <c r="B39" s="234">
        <f>B38*(B51+B52+B53)</f>
        <v>173740.39774638572</v>
      </c>
      <c r="C39" s="234">
        <f>C38*(C51+C52+C53)</f>
        <v>205497.83442798789</v>
      </c>
      <c r="D39" s="234">
        <f>D38*(D51+D52+D53)</f>
        <v>236050.85288506237</v>
      </c>
      <c r="E39" s="234">
        <f>E38*(E51+E52+E53)</f>
        <v>266130.93999877252</v>
      </c>
      <c r="F39" s="234">
        <f>F38*(F51+F52+F53)</f>
        <v>295217.46657000226</v>
      </c>
      <c r="G39" s="234">
        <f>G38*(G51+G52+G53)</f>
        <v>324200.7862075161</v>
      </c>
      <c r="H39" s="234">
        <f>H38*(H51+H52+H53)</f>
        <v>353368.59600668738</v>
      </c>
      <c r="I39" s="234">
        <f>I38*(I51+I52+I53)</f>
        <v>382962.2829330471</v>
      </c>
      <c r="J39" s="234">
        <f>J38*(J51+J52+J53)</f>
        <v>413233.91341344215</v>
      </c>
      <c r="K39" t="s">
        <v>259</v>
      </c>
    </row>
    <row r="40" spans="1:11" x14ac:dyDescent="0.2">
      <c r="A40" s="230" t="s">
        <v>33</v>
      </c>
      <c r="B40" s="234">
        <f>B38-B39</f>
        <v>984528.92056285217</v>
      </c>
      <c r="C40" s="234">
        <f>C38-C39</f>
        <v>1164487.7284252646</v>
      </c>
      <c r="D40" s="234">
        <f>D38-D39</f>
        <v>1337621.4996820199</v>
      </c>
      <c r="E40" s="234">
        <f>E38-E39</f>
        <v>1508075.3266597106</v>
      </c>
      <c r="F40" s="234">
        <f>F38-F39</f>
        <v>1672898.9772300126</v>
      </c>
      <c r="G40" s="234">
        <f>G38-G39</f>
        <v>1837137.7885092576</v>
      </c>
      <c r="H40" s="234">
        <f>H38-H39</f>
        <v>2002422.0440378948</v>
      </c>
      <c r="I40" s="234">
        <f>I38-I39</f>
        <v>2170119.6032872666</v>
      </c>
      <c r="J40" s="234">
        <f>J38-J39</f>
        <v>2341658.8426761716</v>
      </c>
    </row>
    <row r="41" spans="1:11" x14ac:dyDescent="0.2">
      <c r="A41" t="s">
        <v>184</v>
      </c>
      <c r="B41" s="234"/>
      <c r="C41" s="234"/>
      <c r="D41" s="234"/>
      <c r="E41" s="234"/>
      <c r="F41" s="234"/>
      <c r="G41" s="234"/>
      <c r="H41" s="234"/>
      <c r="I41" s="234"/>
      <c r="J41" s="234"/>
      <c r="K41" t="s">
        <v>260</v>
      </c>
    </row>
    <row r="42" spans="1:11" x14ac:dyDescent="0.2">
      <c r="A42" s="230" t="s">
        <v>186</v>
      </c>
      <c r="B42" s="234">
        <f>B40-B41</f>
        <v>984528.92056285217</v>
      </c>
      <c r="C42" s="234">
        <f>C40-C41</f>
        <v>1164487.7284252646</v>
      </c>
      <c r="D42" s="234">
        <f>D40-D41</f>
        <v>1337621.4996820199</v>
      </c>
      <c r="E42" s="234">
        <f>E40-E41</f>
        <v>1508075.3266597106</v>
      </c>
      <c r="F42" s="234">
        <f>F40-F41</f>
        <v>1672898.9772300126</v>
      </c>
      <c r="G42" s="234">
        <f>G40-G41</f>
        <v>1837137.7885092576</v>
      </c>
      <c r="H42" s="234">
        <f>H40-H41</f>
        <v>2002422.0440378948</v>
      </c>
      <c r="I42" s="234">
        <f>I40-I41</f>
        <v>2170119.6032872666</v>
      </c>
      <c r="J42" s="234">
        <f>J40-J41</f>
        <v>2341658.8426761716</v>
      </c>
    </row>
    <row r="43" spans="1:11" x14ac:dyDescent="0.2">
      <c r="A43" t="s">
        <v>261</v>
      </c>
      <c r="B43" s="234"/>
      <c r="C43" s="234"/>
      <c r="D43" s="234"/>
      <c r="E43" s="234"/>
      <c r="F43" s="234"/>
      <c r="G43" s="234"/>
      <c r="H43" s="234"/>
      <c r="I43" s="234"/>
      <c r="J43" s="234"/>
      <c r="K43" t="s">
        <v>262</v>
      </c>
    </row>
    <row r="44" spans="1:11" x14ac:dyDescent="0.2">
      <c r="A44" s="230" t="s">
        <v>189</v>
      </c>
      <c r="B44" s="234"/>
      <c r="C44" s="234"/>
      <c r="D44" s="234"/>
      <c r="E44" s="234"/>
      <c r="F44" s="234"/>
      <c r="G44" s="234"/>
      <c r="H44" s="234"/>
      <c r="I44" s="234"/>
      <c r="J44" s="234"/>
      <c r="K44" t="s">
        <v>263</v>
      </c>
    </row>
    <row r="45" spans="1:11" x14ac:dyDescent="0.2">
      <c r="A45" t="s">
        <v>191</v>
      </c>
      <c r="B45" s="250">
        <v>0</v>
      </c>
      <c r="C45" s="252">
        <f>MIN(B70,MAX(0,(C42+C43-C44))*0.3)</f>
        <v>0</v>
      </c>
      <c r="D45" s="234">
        <f>MIN(C70,MAX(0,(D42+D43-D44))*0.3)</f>
        <v>0</v>
      </c>
      <c r="E45" s="234">
        <f>MIN(D70,MAX(0,(E42+E43-E44))*0.3)</f>
        <v>0</v>
      </c>
      <c r="F45" s="234">
        <f>MIN(E70,MAX(0,(F42+F43-F44))*0.3)</f>
        <v>0</v>
      </c>
      <c r="G45" s="234">
        <f>MIN(F70,MAX(0,(G42+G43-G44))*0.3)</f>
        <v>0</v>
      </c>
      <c r="H45" s="234">
        <f>MIN(G70,MAX(0,(H42+H43-H44))*0.3)</f>
        <v>0</v>
      </c>
      <c r="I45" s="234">
        <f>MIN(H70,MAX(0,(I42+I43-I44))*0.3)</f>
        <v>0</v>
      </c>
      <c r="J45" s="234">
        <f>MIN(I70,MAX(0,(J42+J43-J44))*0.3)</f>
        <v>0</v>
      </c>
      <c r="K45" t="s">
        <v>264</v>
      </c>
    </row>
    <row r="46" spans="1:11" x14ac:dyDescent="0.2">
      <c r="A46" s="232" t="s">
        <v>193</v>
      </c>
      <c r="B46" s="234">
        <f>B42+B43-B44-B45</f>
        <v>984528.92056285217</v>
      </c>
      <c r="C46" s="234">
        <f>C42+C43-C44-C45</f>
        <v>1164487.7284252646</v>
      </c>
      <c r="D46" s="234">
        <f>D42+D43-D44-D45</f>
        <v>1337621.4996820199</v>
      </c>
      <c r="E46" s="234">
        <f>E42+E43-E44-E45</f>
        <v>1508075.3266597106</v>
      </c>
      <c r="F46" s="234">
        <f>F42+F43-F44-F45</f>
        <v>1672898.9772300126</v>
      </c>
      <c r="G46" s="234">
        <f>G42+G43-G44-G45</f>
        <v>1837137.7885092576</v>
      </c>
      <c r="H46" s="234">
        <f>H42+H43-H44-H45</f>
        <v>2002422.0440378948</v>
      </c>
      <c r="I46" s="234">
        <f>I42+I43-I44-I45</f>
        <v>2170119.6032872666</v>
      </c>
      <c r="J46" s="234">
        <f>J42+J43-J44-J45</f>
        <v>2341658.8426761716</v>
      </c>
    </row>
    <row r="47" spans="1:11" x14ac:dyDescent="0.2">
      <c r="A47" t="s">
        <v>202</v>
      </c>
      <c r="B47" s="233">
        <v>0.15</v>
      </c>
      <c r="C47" s="233">
        <v>0.15</v>
      </c>
      <c r="D47" s="233">
        <v>0.15</v>
      </c>
      <c r="E47" s="233">
        <v>0.15</v>
      </c>
      <c r="F47" s="233">
        <v>0.15</v>
      </c>
      <c r="G47" s="233">
        <v>0.15</v>
      </c>
      <c r="H47" s="233">
        <v>0.15</v>
      </c>
      <c r="I47" s="233">
        <v>0.15</v>
      </c>
      <c r="J47" s="233">
        <v>0.15</v>
      </c>
      <c r="K47" t="s">
        <v>266</v>
      </c>
    </row>
    <row r="48" spans="1:11" x14ac:dyDescent="0.2">
      <c r="A48" t="s">
        <v>203</v>
      </c>
      <c r="B48" s="233">
        <v>0.1</v>
      </c>
      <c r="C48" s="233">
        <v>0.1</v>
      </c>
      <c r="D48" s="233">
        <v>0.1</v>
      </c>
      <c r="E48" s="233">
        <v>0.1</v>
      </c>
      <c r="F48" s="233">
        <v>0.1</v>
      </c>
      <c r="G48" s="233">
        <v>0.1</v>
      </c>
      <c r="H48" s="233">
        <v>0.1</v>
      </c>
      <c r="I48" s="233">
        <v>0.1</v>
      </c>
      <c r="J48" s="233">
        <v>0.1</v>
      </c>
      <c r="K48" t="s">
        <v>267</v>
      </c>
    </row>
    <row r="49" spans="1:11" x14ac:dyDescent="0.2">
      <c r="A49" t="s">
        <v>268</v>
      </c>
      <c r="B49" s="234">
        <v>240000</v>
      </c>
      <c r="C49" s="234">
        <v>240000</v>
      </c>
      <c r="D49" s="234">
        <v>240000</v>
      </c>
      <c r="E49" s="234">
        <v>240000</v>
      </c>
      <c r="F49" s="234">
        <v>240000</v>
      </c>
      <c r="G49" s="234">
        <v>240000</v>
      </c>
      <c r="H49" s="234">
        <v>240000</v>
      </c>
      <c r="I49" s="234">
        <v>240000</v>
      </c>
      <c r="J49" s="234">
        <v>240000</v>
      </c>
      <c r="K49" t="s">
        <v>195</v>
      </c>
    </row>
    <row r="50" spans="1:11" x14ac:dyDescent="0.2">
      <c r="A50" t="s">
        <v>204</v>
      </c>
      <c r="B50" s="233">
        <v>0.09</v>
      </c>
      <c r="C50" s="233">
        <v>0.09</v>
      </c>
      <c r="D50" s="233">
        <v>0.09</v>
      </c>
      <c r="E50" s="233">
        <v>0.09</v>
      </c>
      <c r="F50" s="233">
        <v>0.09</v>
      </c>
      <c r="G50" s="233">
        <v>0.09</v>
      </c>
      <c r="H50" s="233">
        <v>0.09</v>
      </c>
      <c r="I50" s="233">
        <v>0.09</v>
      </c>
      <c r="J50" s="233">
        <v>0.09</v>
      </c>
      <c r="K50" t="s">
        <v>269</v>
      </c>
    </row>
    <row r="51" spans="1:11" x14ac:dyDescent="0.2">
      <c r="A51" t="s">
        <v>270</v>
      </c>
      <c r="B51" s="233">
        <f>B15</f>
        <v>0.05</v>
      </c>
      <c r="C51" s="233">
        <f>C15</f>
        <v>0.05</v>
      </c>
      <c r="D51" s="233">
        <f>D15</f>
        <v>0.05</v>
      </c>
      <c r="E51" s="233">
        <f>E15</f>
        <v>0.05</v>
      </c>
      <c r="F51" s="233">
        <f>F15</f>
        <v>0.05</v>
      </c>
      <c r="G51" s="233">
        <f>G15</f>
        <v>0.05</v>
      </c>
      <c r="H51" s="233">
        <f>H15</f>
        <v>0.05</v>
      </c>
      <c r="I51" s="233">
        <f>I15</f>
        <v>0.05</v>
      </c>
      <c r="J51" s="233">
        <f>J15</f>
        <v>0.05</v>
      </c>
      <c r="K51" t="s">
        <v>422</v>
      </c>
    </row>
    <row r="52" spans="1:11" x14ac:dyDescent="0.2">
      <c r="A52" t="s">
        <v>237</v>
      </c>
      <c r="B52" s="233">
        <f>B16</f>
        <v>1E-3</v>
      </c>
      <c r="C52" s="233">
        <f>C16</f>
        <v>1E-3</v>
      </c>
      <c r="D52" s="233">
        <f>D16</f>
        <v>1E-3</v>
      </c>
      <c r="E52" s="233">
        <f>E16</f>
        <v>1E-3</v>
      </c>
      <c r="F52" s="233">
        <f>F16</f>
        <v>1E-3</v>
      </c>
      <c r="G52" s="233">
        <f>G16</f>
        <v>1E-3</v>
      </c>
      <c r="H52" s="233">
        <f>H16</f>
        <v>1E-3</v>
      </c>
      <c r="I52" s="233">
        <f>I16</f>
        <v>1E-3</v>
      </c>
      <c r="J52" s="233">
        <f>J16</f>
        <v>1E-3</v>
      </c>
      <c r="K52" t="s">
        <v>423</v>
      </c>
    </row>
    <row r="53" spans="1:11" x14ac:dyDescent="0.2">
      <c r="A53" t="s">
        <v>239</v>
      </c>
      <c r="B53" s="233">
        <f>B17</f>
        <v>9.9000000000000005E-2</v>
      </c>
      <c r="C53" s="233">
        <f>C17</f>
        <v>9.9000000000000005E-2</v>
      </c>
      <c r="D53" s="233">
        <f>D17</f>
        <v>9.9000000000000005E-2</v>
      </c>
      <c r="E53" s="233">
        <f>E17</f>
        <v>9.9000000000000005E-2</v>
      </c>
      <c r="F53" s="233">
        <f>F17</f>
        <v>9.9000000000000005E-2</v>
      </c>
      <c r="G53" s="233">
        <f>G17</f>
        <v>9.9000000000000005E-2</v>
      </c>
      <c r="H53" s="233">
        <f>H17</f>
        <v>9.9000000000000005E-2</v>
      </c>
      <c r="I53" s="233">
        <f>I17</f>
        <v>9.9000000000000005E-2</v>
      </c>
      <c r="J53" s="233">
        <f>J17</f>
        <v>9.9000000000000005E-2</v>
      </c>
      <c r="K53" t="s">
        <v>424</v>
      </c>
    </row>
    <row r="54" spans="1:11" x14ac:dyDescent="0.2">
      <c r="A54" t="s">
        <v>252</v>
      </c>
      <c r="B54" t="str">
        <f>B18</f>
        <v>Extintos</v>
      </c>
      <c r="C54" t="str">
        <f>C18</f>
        <v>Extintos</v>
      </c>
      <c r="D54" t="str">
        <f>D18</f>
        <v>Extintos</v>
      </c>
      <c r="E54" t="str">
        <f>E18</f>
        <v>Extintos</v>
      </c>
      <c r="F54" t="str">
        <f>F18</f>
        <v>Extintos</v>
      </c>
      <c r="G54" t="str">
        <f>G18</f>
        <v>Extintos</v>
      </c>
      <c r="H54" t="str">
        <f>H18</f>
        <v>Extintos</v>
      </c>
      <c r="I54" t="str">
        <f>I18</f>
        <v>Extintos</v>
      </c>
      <c r="J54" t="str">
        <f>J18</f>
        <v>Extintos</v>
      </c>
      <c r="K54" t="s">
        <v>418</v>
      </c>
    </row>
    <row r="56" spans="1:11" x14ac:dyDescent="0.2">
      <c r="A56" s="54" t="s">
        <v>425</v>
      </c>
    </row>
    <row r="57" spans="1:11" x14ac:dyDescent="0.2">
      <c r="A57" s="231" t="s">
        <v>257</v>
      </c>
      <c r="B57">
        <f>B5</f>
        <v>2028</v>
      </c>
      <c r="C57">
        <f>C5</f>
        <v>2029</v>
      </c>
      <c r="D57">
        <f>D5</f>
        <v>2030</v>
      </c>
      <c r="E57">
        <f>E5</f>
        <v>2031</v>
      </c>
      <c r="F57">
        <f>F5</f>
        <v>2032</v>
      </c>
      <c r="G57">
        <f>G5</f>
        <v>2033</v>
      </c>
      <c r="H57">
        <f>H5</f>
        <v>2034</v>
      </c>
      <c r="I57">
        <f>I5</f>
        <v>2035</v>
      </c>
      <c r="J57">
        <f>J5</f>
        <v>2036</v>
      </c>
      <c r="K57" s="231" t="s">
        <v>420</v>
      </c>
    </row>
    <row r="58" spans="1:11" x14ac:dyDescent="0.2">
      <c r="A58" t="s">
        <v>278</v>
      </c>
      <c r="B58" s="234">
        <f>MAX(0,B46)</f>
        <v>984528.92056285217</v>
      </c>
      <c r="C58" s="234">
        <f>MAX(0,C46)</f>
        <v>1164487.7284252646</v>
      </c>
      <c r="D58">
        <f>MAX(0,D46)</f>
        <v>1337621.4996820199</v>
      </c>
      <c r="E58">
        <f>MAX(0,E46)</f>
        <v>1508075.3266597106</v>
      </c>
      <c r="F58">
        <f>MAX(0,F46)</f>
        <v>1672898.9772300126</v>
      </c>
      <c r="G58">
        <f>MAX(0,G46)</f>
        <v>1837137.7885092576</v>
      </c>
      <c r="H58">
        <f>MAX(0,H46)</f>
        <v>2002422.0440378948</v>
      </c>
      <c r="I58">
        <f>MAX(0,I46)</f>
        <v>2170119.6032872666</v>
      </c>
      <c r="J58">
        <f>MAX(0,J46)</f>
        <v>2341658.8426761716</v>
      </c>
      <c r="K58">
        <f>SUM(B58:J58)</f>
        <v>15018950.731070451</v>
      </c>
    </row>
    <row r="59" spans="1:11" x14ac:dyDescent="0.2">
      <c r="A59" t="s">
        <v>202</v>
      </c>
      <c r="B59" s="234">
        <f>B58*B47</f>
        <v>147679.33808442781</v>
      </c>
      <c r="C59">
        <f>C58*C47</f>
        <v>174673.15926378968</v>
      </c>
      <c r="D59">
        <f>D58*D47</f>
        <v>200643.22495230299</v>
      </c>
      <c r="E59">
        <f>E58*E47</f>
        <v>226211.2989989566</v>
      </c>
      <c r="F59">
        <f>F58*F47</f>
        <v>250934.84658450188</v>
      </c>
      <c r="G59">
        <f>G58*G47</f>
        <v>275570.66827638861</v>
      </c>
      <c r="H59">
        <f>H58*H47</f>
        <v>300363.30660568422</v>
      </c>
      <c r="I59">
        <f>I58*I47</f>
        <v>325517.94049308996</v>
      </c>
      <c r="J59">
        <f>J58*J47</f>
        <v>351248.8264014257</v>
      </c>
      <c r="K59">
        <f>SUM(B59:J59)</f>
        <v>2252842.6096605673</v>
      </c>
    </row>
    <row r="60" spans="1:11" x14ac:dyDescent="0.2">
      <c r="A60" t="s">
        <v>203</v>
      </c>
      <c r="B60" s="234">
        <f>IF(B58&gt;B49,(B58-B49)*B48,0)</f>
        <v>74452.892056285214</v>
      </c>
      <c r="C60">
        <f>IF(C58&gt;C49,(C58-C49)*C48,0)</f>
        <v>92448.772842526465</v>
      </c>
      <c r="D60">
        <f>IF(D58&gt;D49,(D58-D49)*D48,0)</f>
        <v>109762.14996820199</v>
      </c>
      <c r="E60">
        <f>IF(E58&gt;E49,(E58-E49)*E48,0)</f>
        <v>126807.53266597107</v>
      </c>
      <c r="F60">
        <f>IF(F58&gt;F49,(F58-F49)*F48,0)</f>
        <v>143289.89772300128</v>
      </c>
      <c r="G60">
        <f>IF(G58&gt;G49,(G58-G49)*G48,0)</f>
        <v>159713.77885092577</v>
      </c>
      <c r="H60">
        <f>IF(H58&gt;H49,(H58-H49)*H48,0)</f>
        <v>176242.20440378948</v>
      </c>
      <c r="I60">
        <f>IF(I58&gt;I49,(I58-I49)*I48,0)</f>
        <v>193011.96032872668</v>
      </c>
      <c r="J60">
        <f>IF(J58&gt;J49,(J58-J49)*J48,0)</f>
        <v>210165.88426761716</v>
      </c>
      <c r="K60">
        <f>SUM(B60:J60)</f>
        <v>1285895.0731070451</v>
      </c>
    </row>
    <row r="61" spans="1:11" x14ac:dyDescent="0.2">
      <c r="A61" s="230" t="s">
        <v>279</v>
      </c>
      <c r="B61" s="234">
        <f>B59+B60</f>
        <v>222132.23014071304</v>
      </c>
      <c r="C61">
        <f>C59+C60</f>
        <v>267121.93210631615</v>
      </c>
      <c r="D61">
        <f>D59+D60</f>
        <v>310405.37492050498</v>
      </c>
      <c r="E61">
        <f>E59+E60</f>
        <v>353018.83166492765</v>
      </c>
      <c r="F61">
        <f>F59+F60</f>
        <v>394224.74430750316</v>
      </c>
      <c r="G61">
        <f>G59+G60</f>
        <v>435284.4471273144</v>
      </c>
      <c r="H61">
        <f>H59+H60</f>
        <v>476605.5110094737</v>
      </c>
      <c r="I61">
        <f>I59+I60</f>
        <v>518529.90082181664</v>
      </c>
      <c r="J61">
        <f>J59+J60</f>
        <v>561414.71066904289</v>
      </c>
      <c r="K61">
        <f>SUM(B61:J61)</f>
        <v>3538737.6827676129</v>
      </c>
    </row>
    <row r="62" spans="1:11" x14ac:dyDescent="0.2">
      <c r="A62" t="s">
        <v>204</v>
      </c>
      <c r="B62" s="234">
        <f>B58*B50</f>
        <v>88607.602850656694</v>
      </c>
      <c r="C62">
        <f>C58*C50</f>
        <v>104803.89555827381</v>
      </c>
      <c r="D62">
        <f>D58*D50</f>
        <v>120385.93497138179</v>
      </c>
      <c r="E62">
        <f>E58*E50</f>
        <v>135726.77939937395</v>
      </c>
      <c r="F62">
        <f>F58*F50</f>
        <v>150560.90795070113</v>
      </c>
      <c r="G62">
        <f>G58*G50</f>
        <v>165342.40096583319</v>
      </c>
      <c r="H62">
        <f>H58*H50</f>
        <v>180217.98396341052</v>
      </c>
      <c r="I62">
        <f>I58*I50</f>
        <v>195310.76429585399</v>
      </c>
      <c r="J62">
        <f>J58*J50</f>
        <v>210749.29584085543</v>
      </c>
      <c r="K62">
        <f>SUM(B62:J62)</f>
        <v>1351705.5657963404</v>
      </c>
    </row>
    <row r="63" spans="1:11" x14ac:dyDescent="0.2">
      <c r="A63" t="s">
        <v>270</v>
      </c>
      <c r="B63" s="234">
        <f>B38*B51</f>
        <v>57913.4659154619</v>
      </c>
      <c r="C63">
        <f>C38*C51</f>
        <v>68499.278142662632</v>
      </c>
      <c r="D63">
        <f>D38*D51</f>
        <v>78683.617628354114</v>
      </c>
      <c r="E63">
        <f>E38*E51</f>
        <v>88710.313332924154</v>
      </c>
      <c r="F63">
        <f>F38*F51</f>
        <v>98405.822190000748</v>
      </c>
      <c r="G63">
        <f>G38*G51</f>
        <v>108066.92873583869</v>
      </c>
      <c r="H63">
        <f>H38*H51</f>
        <v>117789.53200222911</v>
      </c>
      <c r="I63">
        <f>I38*I51</f>
        <v>127654.09431101568</v>
      </c>
      <c r="J63">
        <f>J38*J51</f>
        <v>137744.63780448071</v>
      </c>
      <c r="K63">
        <f>SUM(B63:J63)</f>
        <v>883467.69006296771</v>
      </c>
    </row>
    <row r="64" spans="1:11" x14ac:dyDescent="0.2">
      <c r="A64" t="s">
        <v>237</v>
      </c>
      <c r="B64" s="234">
        <f>B38*B52</f>
        <v>1158.2693183092379</v>
      </c>
      <c r="C64">
        <f>C38*C52</f>
        <v>1369.9855628532525</v>
      </c>
      <c r="D64">
        <f>D38*D52</f>
        <v>1573.6723525670823</v>
      </c>
      <c r="E64">
        <f>E38*E52</f>
        <v>1774.2062666584832</v>
      </c>
      <c r="F64">
        <f>F38*F52</f>
        <v>1968.1164438000148</v>
      </c>
      <c r="G64">
        <f>G38*G52</f>
        <v>2161.338574716774</v>
      </c>
      <c r="H64">
        <f>H38*H52</f>
        <v>2355.7906400445822</v>
      </c>
      <c r="I64">
        <f>I38*I52</f>
        <v>2553.0818862203137</v>
      </c>
      <c r="J64">
        <f>J38*J52</f>
        <v>2754.8927560896136</v>
      </c>
      <c r="K64">
        <f>SUM(B64:J64)</f>
        <v>17669.353801259356</v>
      </c>
    </row>
    <row r="65" spans="1:11" x14ac:dyDescent="0.2">
      <c r="A65" t="s">
        <v>239</v>
      </c>
      <c r="B65" s="234">
        <f>B38*B53</f>
        <v>114668.66251261457</v>
      </c>
      <c r="C65">
        <f>C38*C53</f>
        <v>135628.57072247201</v>
      </c>
      <c r="D65">
        <f>D38*D53</f>
        <v>155793.56290414114</v>
      </c>
      <c r="E65">
        <f>E38*E53</f>
        <v>175646.42039918984</v>
      </c>
      <c r="F65">
        <f>F38*F53</f>
        <v>194843.52793620148</v>
      </c>
      <c r="G65">
        <f>G38*G53</f>
        <v>213972.51889696062</v>
      </c>
      <c r="H65">
        <f>H38*H53</f>
        <v>233223.27336441365</v>
      </c>
      <c r="I65">
        <f>I38*I53</f>
        <v>252755.10673581104</v>
      </c>
      <c r="J65">
        <f>J38*J53</f>
        <v>272734.38285287179</v>
      </c>
      <c r="K65">
        <f>SUM(B65:J65)</f>
        <v>1749266.0263246763</v>
      </c>
    </row>
    <row r="66" spans="1:11" x14ac:dyDescent="0.2">
      <c r="A66" s="232" t="s">
        <v>209</v>
      </c>
      <c r="B66" s="234">
        <f>B61+B62+B63+B64+B65</f>
        <v>484480.23073775548</v>
      </c>
      <c r="C66">
        <f>C61+C62+C63+C64+C65</f>
        <v>577423.66209257778</v>
      </c>
      <c r="D66">
        <f>D61+D62+D63+D64+D65</f>
        <v>666842.16277694912</v>
      </c>
      <c r="E66">
        <f>E61+E62+E63+E64+E65</f>
        <v>754876.55106307403</v>
      </c>
      <c r="F66">
        <f>F61+F62+F63+F64+F65</f>
        <v>840003.11882820656</v>
      </c>
      <c r="G66">
        <f>G61+G62+G63+G64+G65</f>
        <v>924827.63430066383</v>
      </c>
      <c r="H66">
        <f>H61+H62+H63+H64+H65</f>
        <v>1010192.0909795716</v>
      </c>
      <c r="I66">
        <f>I61+I62+I63+I64+I65</f>
        <v>1096802.9480507176</v>
      </c>
      <c r="J66">
        <f>J61+J62+J63+J64+J65</f>
        <v>1185397.9199233404</v>
      </c>
      <c r="K66">
        <f>SUM(B66:J66)</f>
        <v>7540846.3187528569</v>
      </c>
    </row>
    <row r="67" spans="1:11" x14ac:dyDescent="0.2">
      <c r="A67" s="230" t="s">
        <v>251</v>
      </c>
      <c r="B67" s="233">
        <f>IFERROR(B66/B38,"-")</f>
        <v>0.41827943042207705</v>
      </c>
      <c r="C67">
        <f>IFERROR(C66/C38,"-")</f>
        <v>0.4214815672144635</v>
      </c>
      <c r="D67">
        <f>IFERROR(D66/D38,"-")</f>
        <v>0.4237490489612723</v>
      </c>
      <c r="E67">
        <f>IFERROR(E66/E38,"-")</f>
        <v>0.42547282424201932</v>
      </c>
      <c r="F67">
        <f>IFERROR(F66/F38,"-")</f>
        <v>0.42680559957435188</v>
      </c>
      <c r="G67">
        <f>IFERROR(G66/G38,"-")</f>
        <v>0.42789577029681947</v>
      </c>
      <c r="H67">
        <f>IFERROR(H66/H38,"-")</f>
        <v>0.42881233748362896</v>
      </c>
      <c r="I67">
        <f>IFERROR(I66/I38,"-")</f>
        <v>0.42959959646044465</v>
      </c>
      <c r="J67">
        <f>IFERROR(J66/J38,"-")</f>
        <v>0.43028822711993103</v>
      </c>
      <c r="K67">
        <f>IFERROR(K66/SUM(B38:J38),"-")</f>
        <v>0.42677544428452135</v>
      </c>
    </row>
    <row r="68" spans="1:11" x14ac:dyDescent="0.2">
      <c r="A68" t="s">
        <v>280</v>
      </c>
      <c r="B68" s="234">
        <f>B42-B61-B62</f>
        <v>673789.08757148241</v>
      </c>
      <c r="C68">
        <f>C42-C61-C62</f>
        <v>792561.90076067473</v>
      </c>
      <c r="D68">
        <f>D42-D61-D62</f>
        <v>906830.18979013315</v>
      </c>
      <c r="E68">
        <f>E42-E61-E62</f>
        <v>1019329.7155954089</v>
      </c>
      <c r="F68">
        <f>F42-F61-F62</f>
        <v>1128113.3249718084</v>
      </c>
      <c r="G68">
        <f>G42-G61-G62</f>
        <v>1236510.9404161102</v>
      </c>
      <c r="H68">
        <f>H42-H61-H62</f>
        <v>1345598.5490650104</v>
      </c>
      <c r="I68">
        <f>I42-I61-I62</f>
        <v>1456278.938169596</v>
      </c>
      <c r="J68">
        <f>J42-J61-J62</f>
        <v>1569494.8361662731</v>
      </c>
      <c r="K68">
        <f>SUM(B68:J68)</f>
        <v>10128507.482506499</v>
      </c>
    </row>
    <row r="70" spans="1:11" x14ac:dyDescent="0.2">
      <c r="A70" t="s">
        <v>450</v>
      </c>
      <c r="B70" s="251">
        <f>MAX(0,-(B42+B43-B44))-B45</f>
        <v>0</v>
      </c>
      <c r="C70" s="251">
        <f>B70+MAX(0,-(C42+C43-C44))-C45</f>
        <v>0</v>
      </c>
      <c r="D70">
        <f>C70+MAX(0,-(D42+D43-D44))-D45</f>
        <v>0</v>
      </c>
      <c r="E70">
        <f>D70+MAX(0,-(E42+E43-E44))-E45</f>
        <v>0</v>
      </c>
      <c r="F70">
        <f>E70+MAX(0,-(F42+F43-F44))-F45</f>
        <v>0</v>
      </c>
      <c r="G70">
        <f>F70+MAX(0,-(G42+G43-G44))-G45</f>
        <v>0</v>
      </c>
      <c r="H70">
        <f>G70+MAX(0,-(H42+H43-H44))-H45</f>
        <v>0</v>
      </c>
      <c r="I70">
        <f>H70+MAX(0,-(I42+I43-I44))-I45</f>
        <v>0</v>
      </c>
      <c r="J70">
        <f>I70+MAX(0,-(J42+J43-J44))-J45</f>
        <v>0</v>
      </c>
      <c r="K70">
        <f>J70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Capa</vt:lpstr>
      <vt:lpstr>Macro - Itaú</vt:lpstr>
      <vt:lpstr>Input</vt:lpstr>
      <vt:lpstr>Modelo</vt:lpstr>
      <vt:lpstr>Valuation</vt:lpstr>
      <vt:lpstr>2026 LR </vt:lpstr>
      <vt:lpstr>2026 LP</vt:lpstr>
      <vt:lpstr>Projeções - LR</vt:lpstr>
      <vt:lpstr>Projeções - LP</vt:lpstr>
      <vt:lpstr>Projeções 2028-2036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Tang</dc:creator>
  <cp:keywords/>
  <dc:description/>
  <cp:lastModifiedBy>Leonardo Tang</cp:lastModifiedBy>
  <cp:revision/>
  <dcterms:created xsi:type="dcterms:W3CDTF">2026-08-03T18:15:08Z</dcterms:created>
  <dcterms:modified xsi:type="dcterms:W3CDTF">2026-08-07T08:46:32Z</dcterms:modified>
  <cp:category/>
  <cp:contentStatus/>
</cp:coreProperties>
</file>